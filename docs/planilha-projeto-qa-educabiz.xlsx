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dowloads dhe\educabiz\"/>
    </mc:Choice>
  </mc:AlternateContent>
  <xr:revisionPtr revIDLastSave="0" documentId="13_ncr:1_{B35CEDF6-47FA-4B50-B7BF-7ABF0D2964A5}" xr6:coauthVersionLast="47" xr6:coauthVersionMax="47" xr10:uidLastSave="{00000000-0000-0000-0000-000000000000}"/>
  <bookViews>
    <workbookView xWindow="-110" yWindow="-110" windowWidth="25820" windowHeight="13900" xr2:uid="{00000000-000D-0000-FFFF-FFFF00000000}"/>
  </bookViews>
  <sheets>
    <sheet name="Resumo" sheetId="1" r:id="rId1"/>
    <sheet name="Mapeamento" sheetId="2" r:id="rId2"/>
    <sheet name="Checklist Geral" sheetId="3" r:id="rId3"/>
    <sheet name="Casos de Teste" sheetId="4" r:id="rId4"/>
    <sheet name="Relatório de Bugs" sheetId="5" r:id="rId5"/>
    <sheet name="Melhorias" sheetId="6" r:id="rId6"/>
  </sheets>
  <definedNames>
    <definedName name="_xlnm._FilterDatabase" localSheetId="3" hidden="1">'Casos de Teste'!$A$1:$L$64</definedName>
    <definedName name="_xlnm._FilterDatabase" localSheetId="2" hidden="1">'Checklist Geral'!$A$1:$G$17</definedName>
    <definedName name="_xlnm._FilterDatabase" localSheetId="1" hidden="1">Mapeamento!$A$1:$E$36</definedName>
    <definedName name="_xlnm._FilterDatabase" localSheetId="4" hidden="1">'Relatório de Bugs'!$A$1:$M$2</definedName>
    <definedName name="_xlnm._FilterDatabase" localSheetId="0" hidden="1">Resumo!$A$1:$E$9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 l="1"/>
  <c r="E4" i="1"/>
  <c r="E10" i="1"/>
  <c r="E9" i="1"/>
  <c r="E8" i="1"/>
  <c r="E7" i="1"/>
  <c r="E6" i="1"/>
  <c r="E5" i="1"/>
</calcChain>
</file>

<file path=xl/sharedStrings.xml><?xml version="1.0" encoding="utf-8"?>
<sst xmlns="http://schemas.openxmlformats.org/spreadsheetml/2006/main" count="967" uniqueCount="571">
  <si>
    <t>Planilha de apoio para mapeamento, checklist, casos de teste, bugs e acompanhamento executivo do projeto.</t>
  </si>
  <si>
    <t>Item</t>
  </si>
  <si>
    <t>Descrição</t>
  </si>
  <si>
    <t>Indicadores</t>
  </si>
  <si>
    <t>Valor</t>
  </si>
  <si>
    <t>Objetivo</t>
  </si>
  <si>
    <t>Total de casos</t>
  </si>
  <si>
    <t>Ferramentas</t>
  </si>
  <si>
    <t>Não executados</t>
  </si>
  <si>
    <t>Escopo</t>
  </si>
  <si>
    <t>8 módulos principais: Autenticação, Home, Perfil do Aluno, Mensagens, Documentos, Relatório Diário, Galeria e Agenda.</t>
  </si>
  <si>
    <t>Aprovados</t>
  </si>
  <si>
    <t>Status geral</t>
  </si>
  <si>
    <t>Reprovados</t>
  </si>
  <si>
    <t>Bloqueados</t>
  </si>
  <si>
    <t>Bugs registrados</t>
  </si>
  <si>
    <t>Módulo</t>
  </si>
  <si>
    <t>Funcionalidades principais</t>
  </si>
  <si>
    <t>Prioridade</t>
  </si>
  <si>
    <t>Status no escopo</t>
  </si>
  <si>
    <t>Dependência</t>
  </si>
  <si>
    <t>Observações</t>
  </si>
  <si>
    <t>Autenticação</t>
  </si>
  <si>
    <t>Login, logout, recuperação de senha e sessão expirada</t>
  </si>
  <si>
    <t>Alta</t>
  </si>
  <si>
    <t>Dentro do escopo</t>
  </si>
  <si>
    <t>Usuário possuir credenciais</t>
  </si>
  <si>
    <t>Home / Feed</t>
  </si>
  <si>
    <t>Visualizar informações, abrir relatório, mensagens, galeria e usar scroll</t>
  </si>
  <si>
    <t>Login realizado</t>
  </si>
  <si>
    <t>Perfil do Aluno</t>
  </si>
  <si>
    <t>Visualizar dados, verificar obrigatórios, editar e salvar se permitido</t>
  </si>
  <si>
    <t>Média</t>
  </si>
  <si>
    <t>Mensagens</t>
  </si>
  <si>
    <t>Abrir, criar, responder, mensagem vazia e mensagem longa</t>
  </si>
  <si>
    <t>Documentos</t>
  </si>
  <si>
    <t>Visualizar documentos, abrir PDF, download e documento inexistente</t>
  </si>
  <si>
    <t>Relatório Diário</t>
  </si>
  <si>
    <t>Abrir relatório, alimentação, sono, higiene, entrada e saída</t>
  </si>
  <si>
    <t>Galeria</t>
  </si>
  <si>
    <t>Abrir álbum, abrir foto, curtir e comentar</t>
  </si>
  <si>
    <t>Agenda</t>
  </si>
  <si>
    <t>Visualizar calendário, abrir evento, trocar mês e selecionar dia</t>
  </si>
  <si>
    <t>Recuperação de senha</t>
  </si>
  <si>
    <t>ID</t>
  </si>
  <si>
    <t>Atividade</t>
  </si>
  <si>
    <t>Categoria</t>
  </si>
  <si>
    <t>Status</t>
  </si>
  <si>
    <t>Responsável</t>
  </si>
  <si>
    <t>CHK-001</t>
  </si>
  <si>
    <t>Organizar capturas de tela por módulo</t>
  </si>
  <si>
    <t>Preparação</t>
  </si>
  <si>
    <t>Login, Home, Mensagens, Relatório Diário, Galeria, Agenda, Perfil e Documentos</t>
  </si>
  <si>
    <t>CHK-002</t>
  </si>
  <si>
    <t>Criar planilha de casos de teste</t>
  </si>
  <si>
    <t>Esta planilha atende esta atividade</t>
  </si>
  <si>
    <t>CHK-003</t>
  </si>
  <si>
    <t>Criar projeto Kanban no Jira</t>
  </si>
  <si>
    <t>Concluído</t>
  </si>
  <si>
    <t>Projeto QA Project - Educabiz</t>
  </si>
  <si>
    <t>CHK-004</t>
  </si>
  <si>
    <t>Adicionar cards de criação de casos no Jira</t>
  </si>
  <si>
    <t>Cards por módulo criados no To Do</t>
  </si>
  <si>
    <t>CHK-005</t>
  </si>
  <si>
    <t>Criar casos de teste de Autenticação</t>
  </si>
  <si>
    <t>Casos de teste</t>
  </si>
  <si>
    <t>8 casos planejados</t>
  </si>
  <si>
    <t>CHK-006</t>
  </si>
  <si>
    <t>Criar casos de teste de Home / Feed</t>
  </si>
  <si>
    <t>CHK-007</t>
  </si>
  <si>
    <t>Criar casos de teste de Mensagens</t>
  </si>
  <si>
    <t>CHK-008</t>
  </si>
  <si>
    <t>Criar casos de teste de Relatório Diário</t>
  </si>
  <si>
    <t>CHK-009</t>
  </si>
  <si>
    <t>Criar casos de teste de Galeria</t>
  </si>
  <si>
    <t>CHK-010</t>
  </si>
  <si>
    <t>Criar casos de teste de Agenda</t>
  </si>
  <si>
    <t>CHK-011</t>
  </si>
  <si>
    <t>Criar casos de teste de Perfil do Aluno</t>
  </si>
  <si>
    <t>5 casos planejados</t>
  </si>
  <si>
    <t>CHK-012</t>
  </si>
  <si>
    <t>Criar casos de teste de Documentos</t>
  </si>
  <si>
    <t>CHK-013</t>
  </si>
  <si>
    <t>Executar casos de teste</t>
  </si>
  <si>
    <t>Execução</t>
  </si>
  <si>
    <t>Atualizar status na aba Casos de Teste</t>
  </si>
  <si>
    <t>CHK-014</t>
  </si>
  <si>
    <t>Bugs</t>
  </si>
  <si>
    <t>CHK-015</t>
  </si>
  <si>
    <t>Criar relatório final</t>
  </si>
  <si>
    <t>Documentação</t>
  </si>
  <si>
    <t>Resumo para GitHub</t>
  </si>
  <si>
    <t>Funcionalidade</t>
  </si>
  <si>
    <t>Cenário</t>
  </si>
  <si>
    <t>Tipo</t>
  </si>
  <si>
    <t>Pré-condição</t>
  </si>
  <si>
    <t>Passos</t>
  </si>
  <si>
    <t>Resultado esperado</t>
  </si>
  <si>
    <t>Resultado obtido</t>
  </si>
  <si>
    <t>CT-AUT-001</t>
  </si>
  <si>
    <t>Login</t>
  </si>
  <si>
    <t>Login com credenciais válidas</t>
  </si>
  <si>
    <t>Positivo</t>
  </si>
  <si>
    <t>Usuário cadastrado no app</t>
  </si>
  <si>
    <t>1. Abrir o aplicativo
2. Informar email válido
3. Informar senha válida
4. Tocar em Entrar</t>
  </si>
  <si>
    <t>Usuário deve acessar a Home / Feed do aluno</t>
  </si>
  <si>
    <t>CT-AUT-002</t>
  </si>
  <si>
    <t>Login com senha inválida</t>
  </si>
  <si>
    <t>Negativo</t>
  </si>
  <si>
    <t>1. Abrir o aplicativo
2. Informar email válido
3. Informar senha inválida
4. Tocar em Entrar</t>
  </si>
  <si>
    <t>Sistema deve impedir acesso e exibir mensagem de erro clara</t>
  </si>
  <si>
    <t>CT-AUT-003</t>
  </si>
  <si>
    <t>Login com email inválido</t>
  </si>
  <si>
    <t>App na tela de login</t>
  </si>
  <si>
    <t>1. Informar email inválido
2. Informar senha qualquer
3. Tocar em Entrar</t>
  </si>
  <si>
    <t>Sistema deve impedir acesso e informar que os dados são inválidos</t>
  </si>
  <si>
    <t>CT-AUT-004</t>
  </si>
  <si>
    <t>Campos obrigatórios</t>
  </si>
  <si>
    <t>Tentativa de login com campos vazios</t>
  </si>
  <si>
    <t>1. Deixar email vazio
2. Deixar senha vazia
3. Tocar em Entrar</t>
  </si>
  <si>
    <t>Sistema deve solicitar preenchimento dos campos obrigatórios</t>
  </si>
  <si>
    <t>CT-AUT-005</t>
  </si>
  <si>
    <t>Senha</t>
  </si>
  <si>
    <t>Mostrar e ocultar senha</t>
  </si>
  <si>
    <t>1. Digitar uma senha
2. Tocar no ícone de visualização
3. Tocar novamente no ícone</t>
  </si>
  <si>
    <t>Senha deve alternar entre visível e oculta</t>
  </si>
  <si>
    <t>CT-AUT-006</t>
  </si>
  <si>
    <t>Acessar recuperação de senha</t>
  </si>
  <si>
    <t>1. Tocar em Esqueceu a sua password
2. Informar email cadastrado
3. Enviar solicitação</t>
  </si>
  <si>
    <t>Sistema deve iniciar o fluxo de recuperação de senha</t>
  </si>
  <si>
    <t>CT-AUT-007</t>
  </si>
  <si>
    <t>Logout</t>
  </si>
  <si>
    <t>Realizar logout pelo menu</t>
  </si>
  <si>
    <t>Usuário autenticado</t>
  </si>
  <si>
    <t>1. Abrir menu lateral
2. Tocar em Sair
3. Confirmar saída, se solicitado</t>
  </si>
  <si>
    <t>Usuário deve sair da conta e voltar para a tela de login</t>
  </si>
  <si>
    <t>CT-HOM-001</t>
  </si>
  <si>
    <t>Visualização</t>
  </si>
  <si>
    <t>Visualizar informações principais do aluno</t>
  </si>
  <si>
    <t>1. Acessar a Home
2. Observar cabeçalho e informações do aluno</t>
  </si>
  <si>
    <t>Home deve exibir nome e foto do aluno corretamente</t>
  </si>
  <si>
    <t>CT-HOM-002</t>
  </si>
  <si>
    <t>Feed</t>
  </si>
  <si>
    <t>Visualizar cards no feed</t>
  </si>
  <si>
    <t>1. Acessar a Home
2. Observar os cards exibidos</t>
  </si>
  <si>
    <t>Feed deve exibir cards de relatórios, mensagens e galeria quando disponíveis</t>
  </si>
  <si>
    <t>CT-HOM-003</t>
  </si>
  <si>
    <t>Relatório</t>
  </si>
  <si>
    <t>Abrir relatório diário pelo feed</t>
  </si>
  <si>
    <t>Feed com card de relatório</t>
  </si>
  <si>
    <t>1. Localizar card de Relatório Diário
2. Tocar no card</t>
  </si>
  <si>
    <t>Sistema deve abrir o detalhe do relatório diário selecionado</t>
  </si>
  <si>
    <t>CT-HOM-004</t>
  </si>
  <si>
    <t>Abrir mensagem pelo feed</t>
  </si>
  <si>
    <t>Feed com card de mensagem</t>
  </si>
  <si>
    <t>1. Localizar card de Mensagem
2. Tocar no card</t>
  </si>
  <si>
    <t>Sistema deve abrir o detalhe da mensagem selecionada</t>
  </si>
  <si>
    <t>CT-HOM-005</t>
  </si>
  <si>
    <t>Abrir galeria pelo feed</t>
  </si>
  <si>
    <t>Feed com card de galeria</t>
  </si>
  <si>
    <t>1. Localizar card de Galeria
2. Tocar no card ou em Ver mais na galeria</t>
  </si>
  <si>
    <t>Sistema deve abrir a publicação ou área de galeria relacionada</t>
  </si>
  <si>
    <t>CT-HOM-006</t>
  </si>
  <si>
    <t>Scroll</t>
  </si>
  <si>
    <t>Realizar scroll na Home</t>
  </si>
  <si>
    <t>Feed com múltiplos conteúdos</t>
  </si>
  <si>
    <t>1. Acessar a Home
2. Rolar a tela para baixo
3. Rolar a tela para cima</t>
  </si>
  <si>
    <t>Conteúdo deve rolar sem travamentos e sem sobreposição grave</t>
  </si>
  <si>
    <t>CT-PER-001</t>
  </si>
  <si>
    <t>Visualizar dados do aluno</t>
  </si>
  <si>
    <t>Sistema deve exibir os dados principais do aluno</t>
  </si>
  <si>
    <t>Tela de dados do aluno aberta</t>
  </si>
  <si>
    <t>CT-PER-003</t>
  </si>
  <si>
    <t>Edição</t>
  </si>
  <si>
    <t>Acessar edição de dados</t>
  </si>
  <si>
    <t>1. Tocar no ícone de edição
2. Observar campos editáveis</t>
  </si>
  <si>
    <t>CT-PER-004</t>
  </si>
  <si>
    <t>Salvar</t>
  </si>
  <si>
    <t>Salvar alteração permitida</t>
  </si>
  <si>
    <t>Modo de edição disponível</t>
  </si>
  <si>
    <t>1. Alterar um campo permitido
2. Salvar
3. Reabrir a tela</t>
  </si>
  <si>
    <t>Alteração deve ser salva e exibida corretamente</t>
  </si>
  <si>
    <t>Cancelamento</t>
  </si>
  <si>
    <t>Sair sem salvar alteração</t>
  </si>
  <si>
    <t>Baixa</t>
  </si>
  <si>
    <t>CT-MSG-001</t>
  </si>
  <si>
    <t>Lista</t>
  </si>
  <si>
    <t>Visualizar mensagens recebidas</t>
  </si>
  <si>
    <t>1. Acessar Mensagens
2. Selecionar Recebidas</t>
  </si>
  <si>
    <t>Sistema deve listar mensagens recebidas com remetente, assunto e data</t>
  </si>
  <si>
    <t>CT-MSG-002</t>
  </si>
  <si>
    <t>Visualizar mensagens enviadas</t>
  </si>
  <si>
    <t>1. Acessar Mensagens
2. Selecionar Enviadas</t>
  </si>
  <si>
    <t>Sistema deve listar mensagens enviadas quando existirem</t>
  </si>
  <si>
    <t>CT-MSG-003</t>
  </si>
  <si>
    <t>Detalhe</t>
  </si>
  <si>
    <t>Abrir uma mensagem recebida</t>
  </si>
  <si>
    <t>Existir mensagem recebida</t>
  </si>
  <si>
    <t>1. Acessar Mensagens
2. Tocar em uma mensagem</t>
  </si>
  <si>
    <t>Sistema deve abrir o conteúdo completo da mensagem</t>
  </si>
  <si>
    <t>CT-MSG-004</t>
  </si>
  <si>
    <t>Criar</t>
  </si>
  <si>
    <t>Criar nova mensagem</t>
  </si>
  <si>
    <t>1. Acessar Mensagens
2. Tocar em +
3. Preencher destinatário, assunto e texto
4. Enviar</t>
  </si>
  <si>
    <t>CT-MSG-005</t>
  </si>
  <si>
    <t>Responder</t>
  </si>
  <si>
    <t>Responder uma mensagem</t>
  </si>
  <si>
    <t>Mensagem recebida aberta</t>
  </si>
  <si>
    <t>1. Abrir mensagem
2. Tocar em Responder
3. Preencher resposta
4. Enviar</t>
  </si>
  <si>
    <t>Resposta deve ser enviada com sucesso</t>
  </si>
  <si>
    <t>CT-MSG-006</t>
  </si>
  <si>
    <t>Validação</t>
  </si>
  <si>
    <t>Enviar mensagem vazia</t>
  </si>
  <si>
    <t>Tela de criação ou resposta aberta</t>
  </si>
  <si>
    <t>1. Deixar texto da mensagem vazio
2. Tocar em Enviar</t>
  </si>
  <si>
    <t>Sistema deve impedir envio e informar que a mensagem é obrigatória</t>
  </si>
  <si>
    <t>CT-MSG-007</t>
  </si>
  <si>
    <t>Mensagem longa</t>
  </si>
  <si>
    <t>Enviar ou visualizar mensagem longa</t>
  </si>
  <si>
    <t>Tela de mensagem disponível</t>
  </si>
  <si>
    <t>1. Criar ou abrir mensagem com texto longo
2. Rolar o conteúdo</t>
  </si>
  <si>
    <t>Texto deve permanecer legível e ações principais acessíveis</t>
  </si>
  <si>
    <t>CT-MSG-008</t>
  </si>
  <si>
    <t>Tomar conhecimento</t>
  </si>
  <si>
    <t>Confirmar leitura de mensagem</t>
  </si>
  <si>
    <t>Mensagem com ação Tomar conhecimento</t>
  </si>
  <si>
    <t>1. Abrir mensagem
2. Tocar em Tomar conhecimento</t>
  </si>
  <si>
    <t>Sistema deve registrar a confirmação de leitura</t>
  </si>
  <si>
    <t>CT-DOC-001</t>
  </si>
  <si>
    <t>Visualizar lista de documentos</t>
  </si>
  <si>
    <t>1. Acessar Documentos
2. Observar lista exibida</t>
  </si>
  <si>
    <t>Sistema deve exibir documentos disponíveis por aba/categoria</t>
  </si>
  <si>
    <t>CT-DOC-002</t>
  </si>
  <si>
    <t>Expandir</t>
  </si>
  <si>
    <t>1. Tocar no item de documento
2. Observar detalhes</t>
  </si>
  <si>
    <t>Sistema deve expandir ou abrir detalhes do documento</t>
  </si>
  <si>
    <t>CT-DOC-003</t>
  </si>
  <si>
    <t>PDF</t>
  </si>
  <si>
    <t>Abrir PDF</t>
  </si>
  <si>
    <t>Documento PDF disponível</t>
  </si>
  <si>
    <t>1. Abrir detalhes do documento
2. Tocar no arquivo PDF</t>
  </si>
  <si>
    <t>PDF deve abrir corretamente para visualização</t>
  </si>
  <si>
    <t>CT-DOC-004</t>
  </si>
  <si>
    <t>Download</t>
  </si>
  <si>
    <t>Fazer download de documento</t>
  </si>
  <si>
    <t>1. Abrir documento
2. Tocar no botão de download</t>
  </si>
  <si>
    <t>Documento deve ser baixado ou disponibilizado no dispositivo</t>
  </si>
  <si>
    <t>CT-DOC-005</t>
  </si>
  <si>
    <t>CT-REL-002</t>
  </si>
  <si>
    <t>Abrir relatório diário</t>
  </si>
  <si>
    <t>Existir relatório diário</t>
  </si>
  <si>
    <t>1. Tocar em um relatório da lista</t>
  </si>
  <si>
    <t>Sistema deve abrir o relatório selecionado</t>
  </si>
  <si>
    <t>CT-REL-003</t>
  </si>
  <si>
    <t>Alimentação</t>
  </si>
  <si>
    <t>Visualizar almoço</t>
  </si>
  <si>
    <t>Relatório aberto</t>
  </si>
  <si>
    <t>1. Localizar seção Alimentação
2. Verificar almoço</t>
  </si>
  <si>
    <t>Sistema deve exibir quantidade consumida, hora e ementa quando disponíveis</t>
  </si>
  <si>
    <t>CT-REL-004</t>
  </si>
  <si>
    <t>Visualizar lanche tarde</t>
  </si>
  <si>
    <t>1. Localizar seção de lanche
2. Verificar informações exibidas</t>
  </si>
  <si>
    <t>Sistema deve exibir quantidade, hora e descrição do lanche</t>
  </si>
  <si>
    <t>CT-REL-005</t>
  </si>
  <si>
    <t>Sono</t>
  </si>
  <si>
    <t>Visualizar informação de sono</t>
  </si>
  <si>
    <t>1. Localizar seção Sono
2. Verificar horário/qualidade do sono</t>
  </si>
  <si>
    <t>Sistema deve exibir informação de sono de forma clara</t>
  </si>
  <si>
    <t>CT-REL-006</t>
  </si>
  <si>
    <t>Higiene</t>
  </si>
  <si>
    <t>Visualizar informação de higiene</t>
  </si>
  <si>
    <t>1. Localizar seção Higiene
2. Verificar fralda/roupa/sanita</t>
  </si>
  <si>
    <t>Sistema deve exibir informações de higiene registradas</t>
  </si>
  <si>
    <t>CT-REL-007</t>
  </si>
  <si>
    <t>Presença</t>
  </si>
  <si>
    <t>Visualizar registro de entrada</t>
  </si>
  <si>
    <t>Relatório aberto com presença</t>
  </si>
  <si>
    <t>1. Localizar Registro de Presenças
2. Verificar Entrada</t>
  </si>
  <si>
    <t>Sistema deve exibir hora de entrada e responsável associado</t>
  </si>
  <si>
    <t>CT-REL-008</t>
  </si>
  <si>
    <t>Visualizar registro de saída</t>
  </si>
  <si>
    <t>1. Localizar Registro de Presenças
2. Verificar Saída</t>
  </si>
  <si>
    <t>Sistema deve exibir hora de saída e responsável associado</t>
  </si>
  <si>
    <t>CT-REL-009</t>
  </si>
  <si>
    <t>Recados</t>
  </si>
  <si>
    <t>Visualizar recado no relatório</t>
  </si>
  <si>
    <t>Relatório com recado</t>
  </si>
  <si>
    <t>1. Abrir relatório
2. Localizar seção Recados</t>
  </si>
  <si>
    <t>Recado deve ser exibido completo e legível</t>
  </si>
  <si>
    <t>Navegação</t>
  </si>
  <si>
    <t>Voltar da tela de detalhe</t>
  </si>
  <si>
    <t>1. Tocar no botão de voltar</t>
  </si>
  <si>
    <t>Sistema deve retornar para a lista de relatórios sem erro</t>
  </si>
  <si>
    <t>CT-GAL-001</t>
  </si>
  <si>
    <t>Mural</t>
  </si>
  <si>
    <t>Visualizar mural da galeria</t>
  </si>
  <si>
    <t>1. Acessar Galeria
2. Selecionar Mural</t>
  </si>
  <si>
    <t>Sistema deve exibir publicações com foto, data, texto e reações</t>
  </si>
  <si>
    <t>CT-GAL-002</t>
  </si>
  <si>
    <t>Álbuns</t>
  </si>
  <si>
    <t>Abrir álbum</t>
  </si>
  <si>
    <t>Existir álbum disponível</t>
  </si>
  <si>
    <t>1. Acessar Galeria
2. Selecionar Álbuns
3. Tocar em um álbum</t>
  </si>
  <si>
    <t>Sistema deve abrir ou expandir o álbum selecionado</t>
  </si>
  <si>
    <t>CT-GAL-003</t>
  </si>
  <si>
    <t>Foto</t>
  </si>
  <si>
    <t>Abrir foto</t>
  </si>
  <si>
    <t>Existir foto disponível</t>
  </si>
  <si>
    <t>1. Tocar em uma foto da galeria</t>
  </si>
  <si>
    <t>Foto deve abrir em tamanho maior ou detalhe</t>
  </si>
  <si>
    <t>CT-GAL-004</t>
  </si>
  <si>
    <t>Curtida</t>
  </si>
  <si>
    <t>Curtir publicação</t>
  </si>
  <si>
    <t>Publicação disponível</t>
  </si>
  <si>
    <t>1. Tocar em uma reação/curtida</t>
  </si>
  <si>
    <t>Contador da reação deve ser atualizado ou ação registrada</t>
  </si>
  <si>
    <t>CT-GAL-005</t>
  </si>
  <si>
    <t>Comentário</t>
  </si>
  <si>
    <t>Comentar publicação</t>
  </si>
  <si>
    <t>1. Tocar em Comentar
2. Inserir comentário
3. Enviar</t>
  </si>
  <si>
    <t>Comentário deve ser publicado ou registrado</t>
  </si>
  <si>
    <t>CT-GAL-006</t>
  </si>
  <si>
    <t>Enviar comentário vazio</t>
  </si>
  <si>
    <t>Tela de comentário aberta</t>
  </si>
  <si>
    <t>1. Deixar campo vazio
2. Tocar em Enviar</t>
  </si>
  <si>
    <t>Sistema deve impedir envio de comentário vazio</t>
  </si>
  <si>
    <t>CT-AGE-001</t>
  </si>
  <si>
    <t>Calendário</t>
  </si>
  <si>
    <t>Visualizar calendário</t>
  </si>
  <si>
    <t>1. Acessar Agenda</t>
  </si>
  <si>
    <t>Sistema deve exibir calendário do mês atual e eventos do período</t>
  </si>
  <si>
    <t>CT-AGE-002</t>
  </si>
  <si>
    <t>Sistema deve destacar o dia selecionado e exibir eventos relacionados</t>
  </si>
  <si>
    <t>CT-AGE-003</t>
  </si>
  <si>
    <t>CT-AGE-004</t>
  </si>
  <si>
    <t>Filtros</t>
  </si>
  <si>
    <t>Selecionar tipo de evento</t>
  </si>
  <si>
    <t>Tela de opções/filtro aberta</t>
  </si>
  <si>
    <t>1. Abrir filtros da agenda
2. Selecionar Atividades ou Ver Todos
3. Gravar, se disponível</t>
  </si>
  <si>
    <t>Sistema deve aplicar o filtro selecionado</t>
  </si>
  <si>
    <t>ID Bug</t>
  </si>
  <si>
    <t>Título</t>
  </si>
  <si>
    <t>Passos para reproduzir</t>
  </si>
  <si>
    <t>Severidade</t>
  </si>
  <si>
    <t>Caso de teste relacionado</t>
  </si>
  <si>
    <t>Data</t>
  </si>
  <si>
    <t>Aprovado</t>
  </si>
  <si>
    <t>Reprovado</t>
  </si>
  <si>
    <t>Usuário acessa a Home / Feed do aluno</t>
  </si>
  <si>
    <t xml:space="preserve">Sistema impede acesso e exibe mensagem de erro clara. "DADOS INCORRETOS. POR FAVOR TENTE DE NOVO." </t>
  </si>
  <si>
    <t xml:space="preserve">Sistema exibe mensagem de erro clara. "DADOS INCORRETOS. POR FAVOR TENTE DE NOVO." </t>
  </si>
  <si>
    <t>Senha pode alternar entre visível e oculta</t>
  </si>
  <si>
    <t>Sistema inicia o fluxo de recuperação de senha</t>
  </si>
  <si>
    <t>Usuário sai da conta e voltar para a tela de login</t>
  </si>
  <si>
    <t>Home exibe nome e foto do aluno corretamente</t>
  </si>
  <si>
    <t>Feed exibe cards de relatórios, mensagens e galeria quando disponíveis</t>
  </si>
  <si>
    <t>CT-HOM-007</t>
  </si>
  <si>
    <t>Menu lateral</t>
  </si>
  <si>
    <t>Verificar a abertura do menu lateral na tela de resposta de uma mensagem do Feed</t>
  </si>
  <si>
    <t>Usuário autenticado e com pelo menos uma mensagem disponível no Feed que permita resposta.</t>
  </si>
  <si>
    <t>1. Acessar o aplicativo Educabiz.
2. Entrar no Feed (Home).
3. Localizar uma mensagem com a opção Responder.
4. Tocar em Responder.
5. Na tela de resposta da mensagem, tocar no ícone do menu lateral (três barras) localizado no canto superior direito.</t>
  </si>
  <si>
    <t>O menu lateral deve ser aberto normalmente, permitindo a navegação para as demais áreas do aplicativo.</t>
  </si>
  <si>
    <t>Ao tocar no ícone do menu lateral, é exibido apenas o efeito visual de toque (feedback do botão), porém o menu lateral não é aberto e nenhuma ação é executada.</t>
  </si>
  <si>
    <t>O botão apresenta feedback visual indicando que recebeu o toque, sugerindo que o evento é reconhecido, porém a ação de abrir o menu não é executada. Possível problema na associação da ação ao botão nesta tela específica.</t>
  </si>
  <si>
    <t>Home/Feed</t>
  </si>
  <si>
    <t>Ao acessar uma mensagem disponível no Feed da Home e selecionar a opção Responder, o usuário é direcionado para a tela de resposta da mensagem. Nessa tela, ao tocar no ícone do menu lateral, localizado no canto superior direito, o botão apresenta feedback visual de toque, porém o menu não é aberto.</t>
  </si>
  <si>
    <t>1-Abrir o aplicativo Educabiz;
2-Realizar o login com uma conta válida;
3-Acessar o Feed da Home;
4-Localizar uma mensagem que possua a opção Responder;
5-Tocar no botão Responder;
6-Na tela de resposta da mensagem, tocar no ícone do menu lateral, representado por três barras, no canto superior direito.</t>
  </si>
  <si>
    <t>O ícone apresenta uma alteração visual ao ser tocado, indicando que o toque foi reconhecido, porém o menu lateral não é aberto e nenhuma ação de navegação é executada.</t>
  </si>
  <si>
    <t>Ao tocar no ícone, o menu lateral deve ser aberto normalmente, permitindo que o usuário acesse as demais áreas disponíveis no aplicativo.</t>
  </si>
  <si>
    <t>EDUC-1</t>
  </si>
  <si>
    <t>Aberto</t>
  </si>
  <si>
    <t>CT-HOM-008</t>
  </si>
  <si>
    <t>Responsividade da interface</t>
  </si>
  <si>
    <t>Verificar a exibição do cabeçalho e do Feed na orientação paisagem</t>
  </si>
  <si>
    <t>Usuário autenticado; dispositivo com rotação automática ativada; Home com conteúdo disponível no Feed.</t>
  </si>
  <si>
    <t>1. Abrir o aplicativo Educabiz.
2. Realizar o login.
3. Acessar a Home.
4. Posicionar o dispositivo na orientação paisagem.
5. Observar o cabeçalho com a foto e o nome do aluno.
6. Observar a área disponível para visualização do Feed.</t>
  </si>
  <si>
    <t>O cabeçalho deve adaptar suas dimensões à orientação paisagem, mantendo a foto e o nome do aluno visíveis sem ocupar uma área excessiva da tela. O Feed deve conservar uma área adequada para visualização e navegação.</t>
  </si>
  <si>
    <t>Na orientação paisagem, o cabeçalho com a foto e o nome do aluno aumenta excessivamente e ocupa mais da metade da altura da tela, deixando uma área muito reduzida para a visualização do Feed.</t>
  </si>
  <si>
    <t>Verificar a adaptação da altura, das margens, da foto e do tamanho da fonte do cabeçalho em diferentes resoluções e proporções de tela.</t>
  </si>
  <si>
    <t>EDUC-2</t>
  </si>
  <si>
    <t>Cabeçalho ocupa área excessiva da tela na orientação paisagem</t>
  </si>
  <si>
    <t>Ao alterar a orientação do dispositivo para paisagem na tela Home, o cabeçalho que contém a foto e o nome do aluno não se adapta adequadamente às novas dimensões da tela.
O cabeçalho passa a ocupar mais da metade da altura disponível, reduzindo significativamente a área destinada à visualização do Feed.</t>
  </si>
  <si>
    <t>1-Abrir o aplicativo Educabiz;
2-Realizar o login com uma conta válida;
3-Acessar a tela Home;
4-Ativar a rotação automática do dispositivo, caso necessário;
5-Posicionar o dispositivo na orientação paisagem;
6-Observar o tamanho do cabeçalho e a área disponível para o Feed.</t>
  </si>
  <si>
    <t>Na orientação paisagem, o cabeçalho com a foto e o nome do aluno ocupa uma área excessiva da tela, chegando a utilizar mais da metade da altura disponível. Como consequência, apenas uma pequena parte do Feed permanece visível.</t>
  </si>
  <si>
    <t>O cabeçalho deve adaptar sua altura, espaçamento, imagem e texto à orientação paisagem, mantendo as informações do aluno legíveis sem comprometer a área principal de conteúdo. O Feed deve permanecer com espaço adequado para visualização e navegação.</t>
  </si>
  <si>
    <t>Ambiente</t>
  </si>
  <si>
    <t>Android
Dispositivo: OPPO A78 5G
Modelo: CPH2483
Sistema operacional: ColorOS 15.0
Aplicativo: Educabiz
Versão: 2.120.0</t>
  </si>
  <si>
    <t>Observação</t>
  </si>
  <si>
    <t>Justificativa</t>
  </si>
  <si>
    <t>Melhoria sugerida</t>
  </si>
  <si>
    <t>Impacto</t>
  </si>
  <si>
    <t>MEL-001</t>
  </si>
  <si>
    <t>Navegação / Experiência do Usuário (UX)</t>
  </si>
  <si>
    <t>Sugestão</t>
  </si>
  <si>
    <t>O sistema direciona para tela de Relatório diários geral</t>
  </si>
  <si>
    <t>O sistema direciona para tela de mensagens geral</t>
  </si>
  <si>
    <t>O sistema direciona para tela de galeria geral</t>
  </si>
  <si>
    <t>Conteúdo deve rola sem travamentos e sem sobreposição grave</t>
  </si>
  <si>
    <t>Ao tocar no ícone dos cards de Mensagem, Relatório Diário e Galeria exibidos no Feed, o aplicativo direciona o usuário para a lista completa do respectivo módulo, em vez de abrir diretamente o conteúdo correspondente ao card selecionado.</t>
  </si>
  <si>
    <t>Não foi possível validar a regra de negócio por ausência de documentação. No entanto, considerando princípios de usabilidade, é esperado que a interação com um card do Feed leve o usuário diretamente ao conteúdo relacionado, tornando a navegação mais rápida e intuitiva. O comportamento atual exige etapas adicionais para localizar novamente o item desejado dentro da lista do módulo.</t>
  </si>
  <si>
    <r>
      <t xml:space="preserve">Permitir que o toque em um card do Feed abra diretamente o conteúdo correspondente, como a mensagem, o relatório diário ou a galeria selecionada. O acesso à lista completa pode permanecer disponível por meio de uma opção dedicada, como </t>
    </r>
    <r>
      <rPr>
        <b/>
        <sz val="11"/>
        <color theme="1"/>
        <rFont val="Calibri"/>
        <family val="2"/>
        <scheme val="minor"/>
      </rPr>
      <t>"Ver todas"</t>
    </r>
    <r>
      <rPr>
        <sz val="11"/>
        <color theme="1"/>
        <rFont val="Calibri"/>
        <family val="2"/>
        <scheme val="minor"/>
      </rPr>
      <t>, ou pelo menu do respectivo módulo.</t>
    </r>
  </si>
  <si>
    <t>Reduz a quantidade de cliques necessários para acessar o conteúdo, melhora a fluidez da navegação, aumenta a eficiência da interação e proporciona uma experiência mais consistente com o comportamento esperado em feeds de aplicações móveis.</t>
  </si>
  <si>
    <t>1. Abrir menu
2. Acessar Dados Pessoais</t>
  </si>
  <si>
    <t>Sistema exibe os dados principais do aluno</t>
  </si>
  <si>
    <t xml:space="preserve">Sistema deve abrir modo de edição </t>
  </si>
  <si>
    <t xml:space="preserve">Sistema abre modo de edição </t>
  </si>
  <si>
    <t>Alteração é salva e exibida corretamente</t>
  </si>
  <si>
    <t>1. Alterar um campo
2. Voltar ao início
3. Verificar dados</t>
  </si>
  <si>
    <t>Sistema não deve salvar alteração quando o usuário sair da tela sem "gravar"</t>
  </si>
  <si>
    <t>Sistema não salva alteração quando o usuário não grava as alterações</t>
  </si>
  <si>
    <t>Sistema lista mensagens recebidas com remetente, assunto e data</t>
  </si>
  <si>
    <t>Sistema lista mensagens enviadas quando existem</t>
  </si>
  <si>
    <t>MEL-002</t>
  </si>
  <si>
    <t>Na tela de visualização de uma mensagem, ao tocar no texto "Mensagens", localizado na parte superior da tela, o elemento apresenta feedback visual de toque, porém nenhuma ação é executada. Atualmente, o retorno para a lista de mensagens é possível apenas pelo botão de voltar localizado no canto inferior esquerdo da tela.</t>
  </si>
  <si>
    <t>O feedback visual indica ao usuário que o elemento é interativo, criando a expectativa de que ele execute alguma ação. Além disso, utilizar o título da página como navegação para retornar à tela anterior é um padrão comum em aplicações móveis, tornando a experiência mais intuitiva.</t>
  </si>
  <si>
    <t>Permitir que o toque no texto "Mensagens" retorne o usuário à lista de mensagens, funcionando como um atalho de navegação. Caso o elemento não deva ser interativo, recomenda-se remover o feedback visual de toque para evitar falsas expectativas.</t>
  </si>
  <si>
    <t>Melhora a usabilidade e a consistência da navegação, reduz a confusão do usuário e alinha o comportamento da interface com a percepção visual dos elementos interativos.</t>
  </si>
  <si>
    <t>Sistema abre o conteúdo completo da mensagem</t>
  </si>
  <si>
    <t>Mensagem deve ser enviada e ficar registrada como enviada</t>
  </si>
  <si>
    <t>Mensagem é enviada e fica registrada como enviada</t>
  </si>
  <si>
    <t>Resposta é enviada com sucesso</t>
  </si>
  <si>
    <t>Sistema impede envio e apresenta a mensagem "PREENCHA TODOS OS CAMPOS DO FORMULÁRIO"</t>
  </si>
  <si>
    <t>Texto permanece legível e ações principais acessíveis</t>
  </si>
  <si>
    <t>Sistema registra a confirmação de leitura</t>
  </si>
  <si>
    <t>Sistema exibe documentos disponíveis por aba/categoria</t>
  </si>
  <si>
    <t>EDUC-3</t>
  </si>
  <si>
    <t>CT-HOM-009</t>
  </si>
  <si>
    <t>Responsável consegue criar, editar, substituir e excluir documentos disponibilizados pela escola</t>
  </si>
  <si>
    <t>O sistema permite que o perfil de responsável crie, edite, substitua e exclua documentos institucionais disponibilizados pela escola. As alterações são salvas com sucesso, permitindo modificar informações oficiais que deveriam estar disponíveis apenas para consulta.</t>
  </si>
  <si>
    <t>1. Acessar Documentos.
2. Abrir a aba Aluno.
3. Selecionar um documento.
4. Clicar nos três pontos.
5. Selecionar Editar.
6. Alterar o título.
7. Alterar a descrição.
8. Substituir o ficheiro por outro.
9. Salvar.
10. Excluir um documento.</t>
  </si>
  <si>
    <t>O responsável deve possuir apenas permissão para visualizar e descarregar os documentos disponibilizados pela escola. As opções de criar, editar, substituir ou excluir documentos não devem estar disponíveis para este perfil de utilizador.</t>
  </si>
  <si>
    <t>O sistema permite editar o título, alterar a descrição, substituir o ficheiro por outro documento, excluir documentos existentes e criar novos documentos. As alterações são gravadas com sucesso e permanecem disponíveis posteriormente.</t>
  </si>
  <si>
    <t>Crítica</t>
  </si>
  <si>
    <t>Controle de permissões</t>
  </si>
  <si>
    <t>Verificar se o responsável possui apenas permissão de visualização dos documentos do aluno</t>
  </si>
  <si>
    <t>Usuário autenticado com perfil de responsável e documentos disponíveis na aba Aluno</t>
  </si>
  <si>
    <t>O perfil de responsável deve possuir apenas permissão para visualizar e descarregar os documentos disponibilizados pela instituição. As opções para criar, editar, substituir ou excluir documentos não devem estar disponíveis.</t>
  </si>
  <si>
    <t>O sistema permite editar o título e a descrição, substituir o ficheiro, salvar as alterações, excluir documentos existentes e adicionar novos documentos. As alterações permanecem disponíveis após reabrir a aplicação.</t>
  </si>
  <si>
    <t>1. Acessar o módulo Documentos.
2. Abrir a aba Aluno.
3. Localizar um documento disponibilizado pela instituição.
4. Clicar no menu de três pontos do documento.
5. Verificar as opções disponíveis.
6. Selecionar Editar.
7. Alterar o título e a descrição.
8. Substituir o ficheiro por outro documento.
9. Salvar as alterações.
10. Verificar se as alterações permanecem após atualizar ou reabrir a aplicação.
11. Tentar excluir o documento.</t>
  </si>
  <si>
    <t xml:space="preserve">Expandir documento </t>
  </si>
  <si>
    <t>Documento</t>
  </si>
  <si>
    <t>Sistema expande ou abre detalhes do documento</t>
  </si>
  <si>
    <t>PDF abre corretamente para visualização</t>
  </si>
  <si>
    <t>Documento é baixado/ disponibilizado no dispositivo</t>
  </si>
  <si>
    <t>Os documentos apresentados como avaliações e relatórios do ano letivo, são informações institucionais fornecidas pela escola ou creche. A possibilidade de alteração ou exclusão pelo perfil de responsável representa uma falha de controle de acesso e compromete a integridade dos documentos oficiais.</t>
  </si>
  <si>
    <t>https://dheborabeltrao.atlassian.net/browse/QE-21</t>
  </si>
  <si>
    <t>Menu lateral não abre na tela de resposta de uma mensagem aberta pelo feed</t>
  </si>
  <si>
    <t>https://dheborabeltrao.atlassian.net/browse/QE-22</t>
  </si>
  <si>
    <t>https://dheborabeltrao.atlassian.net/browse/QE-23</t>
  </si>
  <si>
    <t>Sistema abre o relatório selecionado</t>
  </si>
  <si>
    <t>Sistema exibe quantidade consumida, hora e ementa quando disponíveis</t>
  </si>
  <si>
    <t>Sistema exibe quantidade, hora e descrição do lanche</t>
  </si>
  <si>
    <t>Sistema exibe informação de sono de forma clara</t>
  </si>
  <si>
    <t>Sistema exibe informações de higiene registradas</t>
  </si>
  <si>
    <t>Sistema exibe hora de entrada e responsável associado</t>
  </si>
  <si>
    <t>Sistema exibe hora de saída e responsável associado</t>
  </si>
  <si>
    <t>Recado é exibido completo e legível</t>
  </si>
  <si>
    <t>Sistema retorna para a lista de relatórios sem erro</t>
  </si>
  <si>
    <t>Sistema abre o álbum selecionado</t>
  </si>
  <si>
    <t>CT-GAL-007</t>
  </si>
  <si>
    <t>Edição de álbum</t>
  </si>
  <si>
    <t>Verificar comportamento da opção "Editar" de um álbum</t>
  </si>
  <si>
    <t>Existir pelo menos um álbum disponível</t>
  </si>
  <si>
    <t>1. Acessar Galeria.
2. Selecionar Álbuns.
3. Abrir o menu de opções (⋮) de um álbum.
4. Selecionar Editar.</t>
  </si>
  <si>
    <t>Caso o usuário tenha permissão, a tela de edição do álbum deve ser exibida corretamente. Caso não tenha permissão, a opção Editar não deve ser apresentada ou o sistema deve informar que a ação não é permitida.</t>
  </si>
  <si>
    <t>Após selecionar Editar, o aplicativo exibe uma tela vazia (cinza claro), sem informações, botões ou mensagens, impossibilitando qualquer interação.</t>
  </si>
  <si>
    <t>Não foi possível confirmar se o usuário possui permissão para editar álbuns. Independentemente da regra de negócio, a aplicação não deve direcionar o usuário para uma tela vazia.</t>
  </si>
  <si>
    <t>EDUC-4</t>
  </si>
  <si>
    <t>Opção "Editar" de álbum direciona para tela vazia</t>
  </si>
  <si>
    <t>Ao acessar o menu de opções de um álbum e selecionar a opção Editar, o aplicativo direciona o usuário para uma tela vazia, sem conteúdo, mensagens ou controles de navegação.
Não foi possível identificar se o usuário possui permissão para editar o álbum. Entretanto, independentemente da regra de negócio, a aplicação não deve apresentar uma tela sem conteúdo após a seleção de uma ação disponível ao usuário.</t>
  </si>
  <si>
    <t>1-Acessar a Galeria;
2-Selecionar Álbuns;
3-Abrir o menu de opções (⋮) de um álbum;
4-Selecionar Editar.</t>
  </si>
  <si>
    <t>O aplicativo abre uma tela vazia (cinza claro), sem qualquer informação, botão ou funcionalidade disponível. Para retornar, é necessário utilizar o gesto de voltar do dispositivo.</t>
  </si>
  <si>
    <t>Se o usuário possuir permissão, a tela de edição do álbum deve ser exibida corretamente. Caso contrário, a opção Editar não deve estar disponível ou o sistema deve informar que a ação não é permitida.</t>
  </si>
  <si>
    <t>https://dheborabeltrao.atlassian.net/browse/QE-24</t>
  </si>
  <si>
    <t>Link Jira</t>
  </si>
  <si>
    <t>CT-GAL-008</t>
  </si>
  <si>
    <t>Navegação da galeria</t>
  </si>
  <si>
    <t>Verificar o comportamento do cabeçalho durante a navegação da galeria</t>
  </si>
  <si>
    <t>Usuário autenticado e galeria com fotos disponíveis</t>
  </si>
  <si>
    <t>1. Acessar a Galeria.
2. Observar o cabeçalho.
3. Deslizar o dedo para cima apenas sobre a área das fotografias.
4. Observar o comportamento do cabeçalho.
5. Deslizar o dedo para cima diretamente sobre o cabeçalho.</t>
  </si>
  <si>
    <t>Durante a navegação da galeria, o cabeçalho deve recolher automaticamente ou oferecer uma forma intuitiva de maximizar a área de visualização das fotos.</t>
  </si>
  <si>
    <t>Ao deslizar apenas sobre as fotografias, somente a galeria é movimentada e o cabeçalho permanece ocupando aproximadamente um terço da tela. O cabeçalho é ocultado apenas quando o gesto é realizado diretamente sobre ele.</t>
  </si>
  <si>
    <t>A funcionalidade de ocultar o cabeçalho existe, porém sua descoberta não é intuitiva para o usuário. (sugestão de melhoria)</t>
  </si>
  <si>
    <t>MEL-003</t>
  </si>
  <si>
    <t>Experiência do Usuário (UX) / Navegação</t>
  </si>
  <si>
    <t>Na tela da Galeria, o cabeçalho ocupa aproximadamente um terço da tela. Embora seja possível ocultá-lo, isso ocorre apenas quando o usuário arrasta o próprio cabeçalho para cima. Ao deslizar apenas sobre a área das fotografias, o cabeçalho permanece fixo, reduzindo significativamente a área útil para visualização das imagens.</t>
  </si>
  <si>
    <t>A funcionalidade de ocultar o cabeçalho possui baixa descobribilidade, pois depende de um gesto específico que não é evidente para o usuário. Como consequência, muitos usuários podem não perceber que existe a possibilidade de ampliar a área de visualização da galeria, permanecendo com uma experiência limitada durante a navegação.</t>
  </si>
  <si>
    <t>Aumenta a área útil para visualização das fotografias, reduz a necessidade de uma descoberta por tentativa e erro e torna a navegação mais intuitiva e fluida.</t>
  </si>
  <si>
    <t>MEL-004</t>
  </si>
  <si>
    <t xml:space="preserve">Experiência do Usuário (UX) </t>
  </si>
  <si>
    <t>Ao abrir uma fotografia pelo Feed, não há opção para realizar o download da imagem. Para baixar a foto, é necessário acessar a Galeria e localizar novamente a imagem.</t>
  </si>
  <si>
    <t>O usuário já está visualizando a fotografia desejada, porém precisa percorrer um fluxo adicional para realizar uma ação disponível em outra tela. Isso aumenta a quantidade de interações necessárias e reduz a praticidade da navegação.</t>
  </si>
  <si>
    <t>Disponibilizar a opção de download também na visualização da fotografia aberta pelo Feed, mantendo a mesma funcionalidade existente na Galeria.</t>
  </si>
  <si>
    <t>Reduz a quantidade de etapas para download das imagens e torna a experiência mais fluida e consistente entre as telas.</t>
  </si>
  <si>
    <t>Visualização de fotografia</t>
  </si>
  <si>
    <t>Verificar o comportamento do zoom ao abrir uma fotografia pelo Feed</t>
  </si>
  <si>
    <t>Existir uma fotografia disponível no Feed</t>
  </si>
  <si>
    <t>1. Acessar o Feed.
2. Abrir uma fotografia.
3. Realizar o gesto de pinça para ampliar a imagem.</t>
  </si>
  <si>
    <t>A fotografia deve ser exibida em um visualizador apropriado, ocupando a maior parte da tela e permitindo ampliar a imagem utilizando toda a área disponível.</t>
  </si>
  <si>
    <t>A fotografia permanece ocupando aproximadamente um quarto da tela. O gesto de zoom funciona apenas dentro da área originalmente ocupada pela imagem, limitando significativamente sua visualização.</t>
  </si>
  <si>
    <t>O comportamento compromete a visualização detalhada da fotografia.</t>
  </si>
  <si>
    <t>EDUC-5</t>
  </si>
  <si>
    <t>https://dheborabeltrao.atlassian.net/browse/QE-25</t>
  </si>
  <si>
    <t>Zoom da fotografia aberta pelo Feed é limitado à área do card</t>
  </si>
  <si>
    <t>Ao abrir uma fotografia pelo Feed e utilizar o gesto de zoom, a imagem permanece limitada à área originalmente ocupada pelo card, sem expandir para um visualizador em tela ampliada.
Como consequência, mesmo após ampliar a fotografia, a visualização continua restrita a aproximadamente um quarto da tela, dificultando a análise dos detalhes da imagem.</t>
  </si>
  <si>
    <t>1-Acessar o Feed;
2-Abrir uma fotografia;
3-Realizar o gesto de pinça para ampliar a imagem.</t>
  </si>
  <si>
    <t>Ao abrir uma fotografia, o aplicativo deve exibi-la em um visualizador apropriado, utilizando a maior parte da tela e permitindo que o zoom seja realizado sobre toda a imagem, proporcionando melhor visualização dos detalhes.</t>
  </si>
  <si>
    <t>O zoom é aplicado apenas dentro da área originalmente ocupada pela fotografia, mantendo a imagem restrita a uma pequena região da tela.</t>
  </si>
  <si>
    <t>MEL-005</t>
  </si>
  <si>
    <t>Experiência do Usuário (UX) / Interação</t>
  </si>
  <si>
    <t>Ao reagir a uma fotografia da Galeria, o usuário pode alterar a reação para outra disponível, porém não existe opção para remover completamente a reação.</t>
  </si>
  <si>
    <t>O usuário pode reagir acidentalmente ou simplesmente mudar de ideia posteriormente. A impossibilidade de remover a reação reduz o controle do usuário sobre suas próprias interações e pode gerar frustração.</t>
  </si>
  <si>
    <t>Permitir que o usuário remova completamente a reação, retornando ao estado "sem reação". Isso pode ocorrer tocando novamente na reação selecionada, disponibilizando uma opção "Remover reação" ou adotando outro padrão de interação consistente com o restante da aplicação.</t>
  </si>
  <si>
    <t>Aumenta o controle do usuário sobre suas ações, reduz erros permanentes e torna a interação com as fotografias mais flexível e intuitiva.</t>
  </si>
  <si>
    <t>MEL-006</t>
  </si>
  <si>
    <t>Na visualização da Galeria, quando um álbum contém mais de uma fotografia, não há um indicativo visual suficientemente claro de que existem outras imagens disponíveis. Embora seja possível navegar entre elas deslizando o dedo horizontalmente, essa interação não é evidente para o usuário.</t>
  </si>
  <si>
    <t>A navegação por gestos depende da descoberta espontânea pelo usuário. Usuários que não conhecem esse padrão podem visualizar apenas a primeira fotografia, sem perceber que existem outras imagens no mesmo álbum.</t>
  </si>
  <si>
    <t>Facilita a descoberta da funcionalidade, melhora a navegação entre as imagens e reduz a possibilidade de o usuário visualizar apenas parte do conteúdo disponível.</t>
  </si>
  <si>
    <t>Disponibilizar um indicador visual mais evidente de que o álbum contém múltiplas fotografias e que é possível navegar entre elas por meio de gestos horizontais. A solução pode incluir setas laterais, contador de imagens, indicadores de páginas (●○○), animação de primeira utilização ou outro componente de interface que torne essa funcionalidade facilmente identificável.</t>
  </si>
  <si>
    <t>CT-GAL-009</t>
  </si>
  <si>
    <t>Reações em fotografias</t>
  </si>
  <si>
    <t>Verificar a remoção de uma reação em uma fotografia</t>
  </si>
  <si>
    <t>Existir uma fotografia disponível para interação</t>
  </si>
  <si>
    <t>1. Acessar a Galeria.
2. Abrir uma fotografia.
3. Adicionar uma reação.
4. Tentar remover a reação aplicada.</t>
  </si>
  <si>
    <t>O usuário deve conseguir remover a reação, retornando a fotografia ao estado sem reação.</t>
  </si>
  <si>
    <t>O sistema permite apenas substituir a reação por outra disponível. Não existe opção para remover completamente a reação.</t>
  </si>
  <si>
    <t>Não foi possível confirmar se a ausência da funcionalidade faz parte da regra de negócio. O comportamento foi registrado como sugestão de melhoria.</t>
  </si>
  <si>
    <t>Sistema exibe calendário do mês atual e eventos do período</t>
  </si>
  <si>
    <t>Visualização de eventos por data</t>
  </si>
  <si>
    <t>Expandir uma data da agenda</t>
  </si>
  <si>
    <t>Agenda aberta e com pelo menos uma data contendo eventos</t>
  </si>
  <si>
    <t>1. Acessar a Agenda.
2. Localizar uma data na lista.
3. Tocar sobre a data ou no ícone de expansão (seta).</t>
  </si>
  <si>
    <t xml:space="preserve">A data selecionada deve ser expandida, exibindo os eventos correspondentes. </t>
  </si>
  <si>
    <t>Posicionamento inicial da agenda</t>
  </si>
  <si>
    <t>Verificar a data exibida ao abrir a Agenda</t>
  </si>
  <si>
    <t>1. Abrir o aplicativo.
2. Acessar Agenda.
3. Observar a primeira data exibida na lista.</t>
  </si>
  <si>
    <t>A Agenda deve abrir posicionada na data atual ou na próxima data com eventos, facilitando o acesso às informações mais relevantes.</t>
  </si>
  <si>
    <t>A Agenda abre posicionada em datas passadas (ex.: 29 de junho), mesmo quando a data atual é 16 de julho.</t>
  </si>
  <si>
    <t>EDUC-6</t>
  </si>
  <si>
    <t>https://dheborabeltrao.atlassian.net/browse/QE-26</t>
  </si>
  <si>
    <t>Agenda abre posicionada em datas passadas</t>
  </si>
  <si>
    <t>Ao acessar a Agenda, a tela informa corretamente a data atual no cabeçalho. Entretanto, a lista de eventos inicia em datas anteriores, obrigando o usuário a percorrer manualmente diversos dias já passados até encontrar os eventos da data atual.</t>
  </si>
  <si>
    <t>A Agenda deve abrir posicionada automaticamente na data atual ou na próxima data relevante, reduzindo a necessidade de rolagem.</t>
  </si>
  <si>
    <t>Contador da reação é atualizado ou ação registrada</t>
  </si>
  <si>
    <t xml:space="preserve">Comentário é publicado </t>
  </si>
  <si>
    <t>Sistema impede envio de comentário vazio</t>
  </si>
  <si>
    <t>Foto abre em outra tela para visualização exclusiva</t>
  </si>
  <si>
    <t>Registrar bugs encontrados no Jira/Kanban</t>
  </si>
  <si>
    <t>Usar o espaço kanban criado</t>
  </si>
  <si>
    <t>Projeto QA - Aplicação de Creche Educabiz</t>
  </si>
  <si>
    <t>Recolher automaticamente o cabeçalho quando o usuário iniciar a rolagem da galeria, independentemente da região da tela onde o gesto for realizado. Como alternativa, disponibilizar um indicador visual que deixe claro que o cabeçalho pode ser recolhido.</t>
  </si>
  <si>
    <t>Sistema exibe publicações com foto, data, texto e reações</t>
  </si>
  <si>
    <t>Sistema aplica o filtro selecionado</t>
  </si>
  <si>
    <t>7 casos planejados</t>
  </si>
  <si>
    <t>9 casos planejados</t>
  </si>
  <si>
    <t>4 casos planejados</t>
  </si>
  <si>
    <t>Sugestão/Melhoria</t>
  </si>
  <si>
    <t>CT-PER-002</t>
  </si>
  <si>
    <t>CT-REL-001</t>
  </si>
  <si>
    <t>Dificulta o acesso às informações mais importantes da Agenda e aumenta o tempo necessário para localizar os eventos do dia.</t>
  </si>
  <si>
    <t>Melhorias registradas</t>
  </si>
  <si>
    <t>GitHub para documentação, Jira (Kanban) para bugs e tarefas, Excel/Sheets para casos de teste.</t>
  </si>
  <si>
    <t>Módulos Principais</t>
  </si>
  <si>
    <t>Criar um portfólio de QA Júnior profissional com base nos módulos principais da aplicação.</t>
  </si>
  <si>
    <t>Dhébora B.</t>
  </si>
  <si>
    <t>CHK-016</t>
  </si>
  <si>
    <t xml:space="preserve">Registrar sugestões de melhorias encontradas </t>
  </si>
  <si>
    <t>Melhorias</t>
  </si>
  <si>
    <t>Utilizar esta planilha</t>
  </si>
  <si>
    <t>Melhorias em casos</t>
  </si>
  <si>
    <t>Em conclusão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</si>
</sst>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8"/>
      <color rgb="FF0F2D34"/>
      <name val="Calibri"/>
    </font>
    <font>
      <sz val="11"/>
      <color rgb="FF0F2D34"/>
      <name val="Calibri"/>
    </font>
    <font>
      <b/>
      <sz val="11"/>
      <color rgb="FFFFFFFF"/>
      <name val="Calibri"/>
    </font>
    <font>
      <b/>
      <sz val="11"/>
      <color rgb="FF0F2D34"/>
      <name val="Calibri"/>
    </font>
    <font>
      <b/>
      <sz val="11"/>
      <color theme="0"/>
      <name val="Calibri"/>
      <family val="2"/>
      <scheme val="minor"/>
    </font>
    <font>
      <b/>
      <sz val="11"/>
      <color theme="1"/>
      <name val="Calibri"/>
      <family val="2"/>
      <scheme val="minor"/>
    </font>
    <font>
      <b/>
      <sz val="11"/>
      <color rgb="FFFFFFFF"/>
      <name val="Calibri"/>
      <family val="2"/>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0F2D34"/>
      </patternFill>
    </fill>
    <fill>
      <patternFill patternType="solid">
        <fgColor rgb="FF0F2D34"/>
        <bgColor indexed="64"/>
      </patternFill>
    </fill>
  </fills>
  <borders count="9">
    <border>
      <left/>
      <right/>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9D9D9"/>
      </left>
      <right/>
      <top style="thin">
        <color rgb="FFD9D9D9"/>
      </top>
      <bottom/>
      <diagonal/>
    </border>
    <border>
      <left/>
      <right style="thin">
        <color rgb="FFD9D9D9"/>
      </right>
      <top style="thin">
        <color rgb="FFD9D9D9"/>
      </top>
      <bottom/>
      <diagonal/>
    </border>
  </borders>
  <cellStyleXfs count="2">
    <xf numFmtId="0" fontId="0" fillId="0" borderId="0"/>
    <xf numFmtId="0" fontId="8" fillId="0" borderId="0" applyNumberFormat="0" applyFill="0" applyBorder="0" applyAlignment="0" applyProtection="0"/>
  </cellStyleXfs>
  <cellXfs count="32">
    <xf numFmtId="0" fontId="0" fillId="0" borderId="0" xfId="0"/>
    <xf numFmtId="0" fontId="0" fillId="0" borderId="0" xfId="0" applyAlignment="1">
      <alignment vertical="top" wrapText="1"/>
    </xf>
    <xf numFmtId="0" fontId="0" fillId="0" borderId="3" xfId="0" applyBorder="1" applyAlignment="1">
      <alignment vertical="top" wrapText="1"/>
    </xf>
    <xf numFmtId="0" fontId="0" fillId="0" borderId="3" xfId="0" applyBorder="1" applyAlignment="1">
      <alignment horizontal="center" vertical="top" wrapText="1"/>
    </xf>
    <xf numFmtId="0" fontId="0" fillId="0" borderId="0" xfId="0" applyAlignment="1">
      <alignment horizontal="center" vertical="top" wrapText="1"/>
    </xf>
    <xf numFmtId="0" fontId="8" fillId="0" borderId="3" xfId="1" applyBorder="1" applyAlignment="1">
      <alignment vertical="top" wrapText="1"/>
    </xf>
    <xf numFmtId="0" fontId="0" fillId="0" borderId="3"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3"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vertical="center"/>
    </xf>
    <xf numFmtId="0" fontId="0" fillId="0" borderId="0" xfId="0" applyAlignment="1">
      <alignment horizontal="left" vertical="center"/>
    </xf>
    <xf numFmtId="0" fontId="4" fillId="0" borderId="0" xfId="0" applyFont="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7"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3" fillId="2" borderId="3" xfId="0" applyFont="1" applyFill="1" applyBorder="1" applyAlignment="1">
      <alignment vertical="center" wrapText="1"/>
    </xf>
    <xf numFmtId="0" fontId="6"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7"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6" fillId="0" borderId="3" xfId="0" applyFont="1" applyBorder="1" applyAlignment="1">
      <alignment horizontal="center" vertical="center" wrapText="1"/>
    </xf>
  </cellXfs>
  <cellStyles count="2">
    <cellStyle name="Hiperlink" xfId="1" builtinId="8"/>
    <cellStyle name="Normal" xfId="0" builtinId="0"/>
  </cellStyles>
  <dxfs count="17">
    <dxf>
      <fill>
        <patternFill patternType="solid">
          <fgColor rgb="FFFFF2CC"/>
        </patternFill>
      </fill>
    </dxf>
    <dxf>
      <fill>
        <patternFill patternType="solid">
          <fgColor rgb="FFFFF2CC"/>
        </patternFill>
      </fill>
    </dxf>
    <dxf>
      <fill>
        <patternFill patternType="solid">
          <fgColor rgb="FFF4CCCC"/>
        </patternFill>
      </fill>
    </dxf>
    <dxf>
      <fill>
        <patternFill patternType="solid">
          <fgColor rgb="FFC6EFCE"/>
        </patternFill>
      </fill>
    </dxf>
    <dxf>
      <fill>
        <patternFill patternType="solid">
          <fgColor rgb="FFC6EFCE"/>
        </patternFill>
      </fill>
    </dxf>
    <dxf>
      <fill>
        <patternFill>
          <bgColor rgb="FF00B050"/>
        </patternFill>
      </fill>
    </dxf>
    <dxf>
      <fill>
        <patternFill>
          <bgColor rgb="FFFF0000"/>
        </patternFill>
      </fill>
    </dxf>
    <dxf>
      <fill>
        <patternFill>
          <bgColor theme="0" tint="-0.34998626667073579"/>
        </patternFill>
      </fill>
    </dxf>
    <dxf>
      <fill>
        <patternFill>
          <bgColor rgb="FFFFFF00"/>
        </patternFill>
      </fill>
    </dxf>
    <dxf>
      <fill>
        <patternFill patternType="solid">
          <fgColor rgb="FFFFF2CC"/>
        </patternFill>
      </fill>
    </dxf>
    <dxf>
      <fill>
        <patternFill patternType="solid">
          <fgColor rgb="FFFFF2CC"/>
        </patternFill>
      </fill>
    </dxf>
    <dxf>
      <fill>
        <patternFill patternType="solid">
          <fgColor rgb="FFF4CCCC"/>
        </patternFill>
      </fill>
    </dxf>
    <dxf>
      <fill>
        <patternFill patternType="solid">
          <fgColor rgb="FFC6EFCE"/>
        </patternFill>
      </fill>
    </dxf>
    <dxf>
      <fill>
        <patternFill patternType="solid">
          <fgColor rgb="FFC6EFCE"/>
        </patternFill>
      </fill>
    </dxf>
    <dxf>
      <fill>
        <patternFill>
          <bgColor theme="9" tint="-0.24994659260841701"/>
        </patternFill>
      </fill>
    </dxf>
    <dxf>
      <fill>
        <patternFill>
          <fgColor rgb="FF00B050"/>
          <bgColor rgb="FF00B050"/>
        </patternFill>
      </fill>
    </dxf>
    <dxf>
      <fill>
        <patternFill>
          <bgColor theme="0" tint="-0.34998626667073579"/>
        </patternFill>
      </fill>
    </dxf>
  </dxfs>
  <tableStyles count="0" defaultTableStyle="TableStyleMedium9" defaultPivotStyle="PivotStyleLight16"/>
  <colors>
    <mruColors>
      <color rgb="FF0F2D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dheborabeltrao.atlassian.net/browse/QE-23" TargetMode="External"/><Relationship Id="rId2" Type="http://schemas.openxmlformats.org/officeDocument/2006/relationships/hyperlink" Target="https://dheborabeltrao.atlassian.net/browse/QE-22" TargetMode="External"/><Relationship Id="rId1" Type="http://schemas.openxmlformats.org/officeDocument/2006/relationships/hyperlink" Target="https://dheborabeltrao.atlassian.net/browse/QE-21" TargetMode="External"/><Relationship Id="rId6" Type="http://schemas.openxmlformats.org/officeDocument/2006/relationships/hyperlink" Target="https://dheborabeltrao.atlassian.net/browse/QE-26" TargetMode="External"/><Relationship Id="rId5" Type="http://schemas.openxmlformats.org/officeDocument/2006/relationships/hyperlink" Target="https://dheborabeltrao.atlassian.net/browse/QE-25" TargetMode="External"/><Relationship Id="rId4" Type="http://schemas.openxmlformats.org/officeDocument/2006/relationships/hyperlink" Target="https://dheborabeltrao.atlassian.net/browse/QE-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showGridLines="0" tabSelected="1" workbookViewId="0">
      <pane ySplit="3" topLeftCell="A4" activePane="bottomLeft" state="frozen"/>
      <selection pane="bottomLeft" activeCell="B10" sqref="B10"/>
    </sheetView>
  </sheetViews>
  <sheetFormatPr defaultRowHeight="30" customHeight="1" x14ac:dyDescent="0.35"/>
  <cols>
    <col min="1" max="1" width="24" style="7" customWidth="1"/>
    <col min="2" max="2" width="110" style="7" customWidth="1"/>
    <col min="3" max="3" width="8.7265625" style="7"/>
    <col min="4" max="4" width="24" style="7" customWidth="1"/>
    <col min="5" max="5" width="18" style="12" customWidth="1"/>
    <col min="6" max="16384" width="8.7265625" style="7"/>
  </cols>
  <sheetData>
    <row r="1" spans="1:5" ht="30" customHeight="1" x14ac:dyDescent="0.35">
      <c r="A1" s="24" t="s">
        <v>549</v>
      </c>
      <c r="B1" s="25"/>
    </row>
    <row r="2" spans="1:5" ht="30" customHeight="1" x14ac:dyDescent="0.35">
      <c r="A2" s="26" t="s">
        <v>0</v>
      </c>
      <c r="B2" s="27"/>
    </row>
    <row r="3" spans="1:5" ht="30" customHeight="1" x14ac:dyDescent="0.35">
      <c r="A3" s="22" t="s">
        <v>1</v>
      </c>
      <c r="B3" s="22" t="s">
        <v>2</v>
      </c>
      <c r="D3" s="10" t="s">
        <v>3</v>
      </c>
      <c r="E3" s="10" t="s">
        <v>4</v>
      </c>
    </row>
    <row r="4" spans="1:5" ht="30" customHeight="1" x14ac:dyDescent="0.35">
      <c r="A4" s="6" t="s">
        <v>5</v>
      </c>
      <c r="B4" s="6" t="s">
        <v>563</v>
      </c>
      <c r="D4" s="6" t="s">
        <v>6</v>
      </c>
      <c r="E4" s="13">
        <f>COUNTIF('Casos de Teste'!A:A,"CT-*")</f>
        <v>55</v>
      </c>
    </row>
    <row r="5" spans="1:5" ht="30" customHeight="1" x14ac:dyDescent="0.35">
      <c r="A5" s="6" t="s">
        <v>7</v>
      </c>
      <c r="B5" s="6" t="s">
        <v>561</v>
      </c>
      <c r="D5" s="6" t="s">
        <v>8</v>
      </c>
      <c r="E5" s="13">
        <f>COUNTIF('Casos de Teste'!J:J,"Não executado")</f>
        <v>0</v>
      </c>
    </row>
    <row r="6" spans="1:5" ht="30" customHeight="1" x14ac:dyDescent="0.35">
      <c r="A6" s="6" t="s">
        <v>9</v>
      </c>
      <c r="B6" s="6" t="s">
        <v>10</v>
      </c>
      <c r="D6" s="6" t="s">
        <v>11</v>
      </c>
      <c r="E6" s="13">
        <f>COUNTIF('Casos de Teste'!J:J,"Aprovado")</f>
        <v>47</v>
      </c>
    </row>
    <row r="7" spans="1:5" ht="30" customHeight="1" x14ac:dyDescent="0.35">
      <c r="A7" s="6" t="s">
        <v>12</v>
      </c>
      <c r="B7" s="6" t="s">
        <v>570</v>
      </c>
      <c r="D7" s="6" t="s">
        <v>13</v>
      </c>
      <c r="E7" s="13">
        <f>COUNTIF('Casos de Teste'!J:J,"Reprovado")</f>
        <v>6</v>
      </c>
    </row>
    <row r="8" spans="1:5" ht="30" customHeight="1" x14ac:dyDescent="0.35">
      <c r="D8" s="6" t="s">
        <v>14</v>
      </c>
      <c r="E8" s="13">
        <f>COUNTIF('Casos de Teste'!J:J,"Bloqueado")</f>
        <v>0</v>
      </c>
    </row>
    <row r="9" spans="1:5" ht="30" customHeight="1" x14ac:dyDescent="0.35">
      <c r="D9" s="23" t="s">
        <v>15</v>
      </c>
      <c r="E9" s="31">
        <f>COUNTA('Relatório de Bugs'!A2:A200)</f>
        <v>6</v>
      </c>
    </row>
    <row r="10" spans="1:5" ht="30" customHeight="1" x14ac:dyDescent="0.35">
      <c r="D10" s="23" t="s">
        <v>560</v>
      </c>
      <c r="E10" s="31">
        <f>COUNTA(Melhorias!A2:A200)</f>
        <v>6</v>
      </c>
    </row>
    <row r="11" spans="1:5" ht="30" customHeight="1" x14ac:dyDescent="0.35">
      <c r="D11" s="6" t="s">
        <v>569</v>
      </c>
      <c r="E11" s="13">
        <f>COUNTIF('Casos de Teste'!J:J,"Sugestão/Melhoria")</f>
        <v>2</v>
      </c>
    </row>
  </sheetData>
  <autoFilter ref="A1:E9" xr:uid="{00000000-0009-0000-0000-000000000000}"/>
  <mergeCells count="2">
    <mergeCell ref="A1:B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showGridLines="0" workbookViewId="0">
      <pane ySplit="1" topLeftCell="A2" activePane="bottomLeft" state="frozen"/>
      <selection pane="bottomLeft" activeCell="B12" sqref="B12"/>
    </sheetView>
  </sheetViews>
  <sheetFormatPr defaultRowHeight="30" customHeight="1" x14ac:dyDescent="0.35"/>
  <cols>
    <col min="1" max="1" width="26" style="12" customWidth="1"/>
    <col min="2" max="2" width="65" style="19" customWidth="1"/>
    <col min="3" max="3" width="16" style="12" customWidth="1"/>
    <col min="4" max="4" width="20" style="12" customWidth="1"/>
    <col min="5" max="5" width="28" style="12" customWidth="1"/>
    <col min="6" max="16384" width="8.7265625" style="12"/>
  </cols>
  <sheetData>
    <row r="1" spans="1:5" ht="30" customHeight="1" x14ac:dyDescent="0.35">
      <c r="A1" s="11" t="s">
        <v>562</v>
      </c>
      <c r="B1" s="10" t="s">
        <v>17</v>
      </c>
      <c r="C1" s="10" t="s">
        <v>18</v>
      </c>
      <c r="D1" s="10" t="s">
        <v>19</v>
      </c>
      <c r="E1" s="10" t="s">
        <v>20</v>
      </c>
    </row>
    <row r="2" spans="1:5" ht="30" customHeight="1" x14ac:dyDescent="0.35">
      <c r="A2" s="13" t="s">
        <v>22</v>
      </c>
      <c r="B2" s="18" t="s">
        <v>23</v>
      </c>
      <c r="C2" s="13" t="s">
        <v>24</v>
      </c>
      <c r="D2" s="13" t="s">
        <v>25</v>
      </c>
      <c r="E2" s="13" t="s">
        <v>26</v>
      </c>
    </row>
    <row r="3" spans="1:5" ht="30" customHeight="1" x14ac:dyDescent="0.35">
      <c r="A3" s="13" t="s">
        <v>27</v>
      </c>
      <c r="B3" s="18" t="s">
        <v>28</v>
      </c>
      <c r="C3" s="13" t="s">
        <v>24</v>
      </c>
      <c r="D3" s="13" t="s">
        <v>25</v>
      </c>
      <c r="E3" s="13" t="s">
        <v>29</v>
      </c>
    </row>
    <row r="4" spans="1:5" ht="30" customHeight="1" x14ac:dyDescent="0.35">
      <c r="A4" s="13" t="s">
        <v>30</v>
      </c>
      <c r="B4" s="18" t="s">
        <v>31</v>
      </c>
      <c r="C4" s="13" t="s">
        <v>32</v>
      </c>
      <c r="D4" s="13" t="s">
        <v>25</v>
      </c>
      <c r="E4" s="13" t="s">
        <v>29</v>
      </c>
    </row>
    <row r="5" spans="1:5" ht="30" customHeight="1" x14ac:dyDescent="0.35">
      <c r="A5" s="13" t="s">
        <v>33</v>
      </c>
      <c r="B5" s="18" t="s">
        <v>34</v>
      </c>
      <c r="C5" s="13" t="s">
        <v>24</v>
      </c>
      <c r="D5" s="13" t="s">
        <v>25</v>
      </c>
      <c r="E5" s="13" t="s">
        <v>29</v>
      </c>
    </row>
    <row r="6" spans="1:5" ht="30" customHeight="1" x14ac:dyDescent="0.35">
      <c r="A6" s="13" t="s">
        <v>35</v>
      </c>
      <c r="B6" s="18" t="s">
        <v>36</v>
      </c>
      <c r="C6" s="13" t="s">
        <v>32</v>
      </c>
      <c r="D6" s="13" t="s">
        <v>25</v>
      </c>
      <c r="E6" s="13" t="s">
        <v>29</v>
      </c>
    </row>
    <row r="7" spans="1:5" ht="30" customHeight="1" x14ac:dyDescent="0.35">
      <c r="A7" s="13" t="s">
        <v>37</v>
      </c>
      <c r="B7" s="18" t="s">
        <v>38</v>
      </c>
      <c r="C7" s="13" t="s">
        <v>24</v>
      </c>
      <c r="D7" s="13" t="s">
        <v>25</v>
      </c>
      <c r="E7" s="13" t="s">
        <v>29</v>
      </c>
    </row>
    <row r="8" spans="1:5" ht="30" customHeight="1" x14ac:dyDescent="0.35">
      <c r="A8" s="13" t="s">
        <v>39</v>
      </c>
      <c r="B8" s="18" t="s">
        <v>40</v>
      </c>
      <c r="C8" s="13" t="s">
        <v>32</v>
      </c>
      <c r="D8" s="13" t="s">
        <v>25</v>
      </c>
      <c r="E8" s="13" t="s">
        <v>29</v>
      </c>
    </row>
    <row r="9" spans="1:5" ht="30" customHeight="1" x14ac:dyDescent="0.35">
      <c r="A9" s="13" t="s">
        <v>41</v>
      </c>
      <c r="B9" s="18" t="s">
        <v>42</v>
      </c>
      <c r="C9" s="13" t="s">
        <v>32</v>
      </c>
      <c r="D9" s="13" t="s">
        <v>25</v>
      </c>
      <c r="E9" s="13" t="s">
        <v>29</v>
      </c>
    </row>
    <row r="12" spans="1:5" ht="30" customHeight="1" x14ac:dyDescent="0.35">
      <c r="A12" s="17"/>
    </row>
    <row r="31" spans="1:1" ht="30" customHeight="1" x14ac:dyDescent="0.35">
      <c r="A31" s="17"/>
    </row>
  </sheetData>
  <autoFilter ref="A1:E3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showGridLines="0" workbookViewId="0">
      <pane ySplit="1" topLeftCell="A11" activePane="bottomLeft" state="frozen"/>
      <selection pane="bottomLeft" activeCell="D20" sqref="D20"/>
    </sheetView>
  </sheetViews>
  <sheetFormatPr defaultRowHeight="30" customHeight="1" x14ac:dyDescent="0.35"/>
  <cols>
    <col min="1" max="1" width="12" style="9" customWidth="1"/>
    <col min="2" max="2" width="48" style="16" customWidth="1"/>
    <col min="3" max="4" width="18" style="9" customWidth="1"/>
    <col min="5" max="5" width="14" style="9" customWidth="1"/>
    <col min="6" max="6" width="16" style="9" customWidth="1"/>
    <col min="7" max="7" width="60" style="16" customWidth="1"/>
    <col min="8" max="16384" width="8.7265625" style="9"/>
  </cols>
  <sheetData>
    <row r="1" spans="1:7" ht="30" customHeight="1" x14ac:dyDescent="0.35">
      <c r="A1" s="10" t="s">
        <v>44</v>
      </c>
      <c r="B1" s="10" t="s">
        <v>45</v>
      </c>
      <c r="C1" s="10" t="s">
        <v>46</v>
      </c>
      <c r="D1" s="10" t="s">
        <v>47</v>
      </c>
      <c r="E1" s="10" t="s">
        <v>18</v>
      </c>
      <c r="F1" s="10" t="s">
        <v>48</v>
      </c>
      <c r="G1" s="10" t="s">
        <v>21</v>
      </c>
    </row>
    <row r="2" spans="1:7" ht="30" customHeight="1" x14ac:dyDescent="0.35">
      <c r="A2" s="13" t="s">
        <v>49</v>
      </c>
      <c r="B2" s="18" t="s">
        <v>50</v>
      </c>
      <c r="C2" s="13" t="s">
        <v>51</v>
      </c>
      <c r="D2" s="13" t="s">
        <v>58</v>
      </c>
      <c r="E2" s="13" t="s">
        <v>24</v>
      </c>
      <c r="F2" s="13" t="s">
        <v>564</v>
      </c>
      <c r="G2" s="18" t="s">
        <v>52</v>
      </c>
    </row>
    <row r="3" spans="1:7" ht="30" customHeight="1" x14ac:dyDescent="0.35">
      <c r="A3" s="13" t="s">
        <v>53</v>
      </c>
      <c r="B3" s="18" t="s">
        <v>54</v>
      </c>
      <c r="C3" s="13" t="s">
        <v>51</v>
      </c>
      <c r="D3" s="13" t="s">
        <v>58</v>
      </c>
      <c r="E3" s="13" t="s">
        <v>24</v>
      </c>
      <c r="F3" s="13" t="s">
        <v>564</v>
      </c>
      <c r="G3" s="18" t="s">
        <v>55</v>
      </c>
    </row>
    <row r="4" spans="1:7" ht="30" customHeight="1" x14ac:dyDescent="0.35">
      <c r="A4" s="13" t="s">
        <v>56</v>
      </c>
      <c r="B4" s="18" t="s">
        <v>57</v>
      </c>
      <c r="C4" s="13" t="s">
        <v>51</v>
      </c>
      <c r="D4" s="13" t="s">
        <v>58</v>
      </c>
      <c r="E4" s="13" t="s">
        <v>24</v>
      </c>
      <c r="F4" s="13" t="s">
        <v>564</v>
      </c>
      <c r="G4" s="18" t="s">
        <v>59</v>
      </c>
    </row>
    <row r="5" spans="1:7" ht="30" customHeight="1" x14ac:dyDescent="0.35">
      <c r="A5" s="13" t="s">
        <v>60</v>
      </c>
      <c r="B5" s="18" t="s">
        <v>61</v>
      </c>
      <c r="C5" s="13" t="s">
        <v>51</v>
      </c>
      <c r="D5" s="13" t="s">
        <v>58</v>
      </c>
      <c r="E5" s="13" t="s">
        <v>24</v>
      </c>
      <c r="F5" s="13" t="s">
        <v>564</v>
      </c>
      <c r="G5" s="18" t="s">
        <v>62</v>
      </c>
    </row>
    <row r="6" spans="1:7" ht="30" customHeight="1" x14ac:dyDescent="0.35">
      <c r="A6" s="13" t="s">
        <v>63</v>
      </c>
      <c r="B6" s="18" t="s">
        <v>64</v>
      </c>
      <c r="C6" s="13" t="s">
        <v>65</v>
      </c>
      <c r="D6" s="13" t="s">
        <v>58</v>
      </c>
      <c r="E6" s="13" t="s">
        <v>24</v>
      </c>
      <c r="F6" s="13" t="s">
        <v>564</v>
      </c>
      <c r="G6" s="18" t="s">
        <v>553</v>
      </c>
    </row>
    <row r="7" spans="1:7" ht="30" customHeight="1" x14ac:dyDescent="0.35">
      <c r="A7" s="13" t="s">
        <v>67</v>
      </c>
      <c r="B7" s="18" t="s">
        <v>68</v>
      </c>
      <c r="C7" s="13" t="s">
        <v>65</v>
      </c>
      <c r="D7" s="13" t="s">
        <v>58</v>
      </c>
      <c r="E7" s="13" t="s">
        <v>24</v>
      </c>
      <c r="F7" s="13" t="s">
        <v>564</v>
      </c>
      <c r="G7" s="18" t="s">
        <v>554</v>
      </c>
    </row>
    <row r="8" spans="1:7" ht="30" customHeight="1" x14ac:dyDescent="0.35">
      <c r="A8" s="13" t="s">
        <v>69</v>
      </c>
      <c r="B8" s="18" t="s">
        <v>70</v>
      </c>
      <c r="C8" s="13" t="s">
        <v>65</v>
      </c>
      <c r="D8" s="13" t="s">
        <v>58</v>
      </c>
      <c r="E8" s="13" t="s">
        <v>24</v>
      </c>
      <c r="F8" s="13" t="s">
        <v>564</v>
      </c>
      <c r="G8" s="18" t="s">
        <v>66</v>
      </c>
    </row>
    <row r="9" spans="1:7" ht="30" customHeight="1" x14ac:dyDescent="0.35">
      <c r="A9" s="13" t="s">
        <v>71</v>
      </c>
      <c r="B9" s="18" t="s">
        <v>72</v>
      </c>
      <c r="C9" s="13" t="s">
        <v>65</v>
      </c>
      <c r="D9" s="13" t="s">
        <v>58</v>
      </c>
      <c r="E9" s="13" t="s">
        <v>24</v>
      </c>
      <c r="F9" s="13" t="s">
        <v>564</v>
      </c>
      <c r="G9" s="18" t="s">
        <v>554</v>
      </c>
    </row>
    <row r="10" spans="1:7" ht="30" customHeight="1" x14ac:dyDescent="0.35">
      <c r="A10" s="13" t="s">
        <v>73</v>
      </c>
      <c r="B10" s="18" t="s">
        <v>74</v>
      </c>
      <c r="C10" s="13" t="s">
        <v>65</v>
      </c>
      <c r="D10" s="13" t="s">
        <v>58</v>
      </c>
      <c r="E10" s="13" t="s">
        <v>32</v>
      </c>
      <c r="F10" s="13" t="s">
        <v>564</v>
      </c>
      <c r="G10" s="18" t="s">
        <v>554</v>
      </c>
    </row>
    <row r="11" spans="1:7" ht="30" customHeight="1" x14ac:dyDescent="0.35">
      <c r="A11" s="13" t="s">
        <v>75</v>
      </c>
      <c r="B11" s="18" t="s">
        <v>76</v>
      </c>
      <c r="C11" s="13" t="s">
        <v>65</v>
      </c>
      <c r="D11" s="13" t="s">
        <v>58</v>
      </c>
      <c r="E11" s="13" t="s">
        <v>32</v>
      </c>
      <c r="F11" s="13" t="s">
        <v>564</v>
      </c>
      <c r="G11" s="18" t="s">
        <v>555</v>
      </c>
    </row>
    <row r="12" spans="1:7" ht="30" customHeight="1" x14ac:dyDescent="0.35">
      <c r="A12" s="13" t="s">
        <v>77</v>
      </c>
      <c r="B12" s="18" t="s">
        <v>78</v>
      </c>
      <c r="C12" s="13" t="s">
        <v>65</v>
      </c>
      <c r="D12" s="13" t="s">
        <v>58</v>
      </c>
      <c r="E12" s="13" t="s">
        <v>32</v>
      </c>
      <c r="F12" s="13" t="s">
        <v>564</v>
      </c>
      <c r="G12" s="18" t="s">
        <v>555</v>
      </c>
    </row>
    <row r="13" spans="1:7" ht="30" customHeight="1" x14ac:dyDescent="0.35">
      <c r="A13" s="13" t="s">
        <v>80</v>
      </c>
      <c r="B13" s="18" t="s">
        <v>81</v>
      </c>
      <c r="C13" s="13" t="s">
        <v>65</v>
      </c>
      <c r="D13" s="13" t="s">
        <v>58</v>
      </c>
      <c r="E13" s="13" t="s">
        <v>32</v>
      </c>
      <c r="F13" s="13" t="s">
        <v>564</v>
      </c>
      <c r="G13" s="18" t="s">
        <v>79</v>
      </c>
    </row>
    <row r="14" spans="1:7" ht="30" customHeight="1" x14ac:dyDescent="0.35">
      <c r="A14" s="13" t="s">
        <v>82</v>
      </c>
      <c r="B14" s="18" t="s">
        <v>83</v>
      </c>
      <c r="C14" s="13" t="s">
        <v>84</v>
      </c>
      <c r="D14" s="13" t="s">
        <v>58</v>
      </c>
      <c r="E14" s="13" t="s">
        <v>24</v>
      </c>
      <c r="F14" s="13" t="s">
        <v>564</v>
      </c>
      <c r="G14" s="18" t="s">
        <v>85</v>
      </c>
    </row>
    <row r="15" spans="1:7" ht="30" customHeight="1" x14ac:dyDescent="0.35">
      <c r="A15" s="13" t="s">
        <v>86</v>
      </c>
      <c r="B15" s="18" t="s">
        <v>547</v>
      </c>
      <c r="C15" s="13" t="s">
        <v>87</v>
      </c>
      <c r="D15" s="13" t="s">
        <v>58</v>
      </c>
      <c r="E15" s="13" t="s">
        <v>24</v>
      </c>
      <c r="F15" s="13" t="s">
        <v>564</v>
      </c>
      <c r="G15" s="18" t="s">
        <v>548</v>
      </c>
    </row>
    <row r="16" spans="1:7" ht="30" customHeight="1" x14ac:dyDescent="0.35">
      <c r="A16" s="13" t="s">
        <v>88</v>
      </c>
      <c r="B16" s="18" t="s">
        <v>566</v>
      </c>
      <c r="C16" s="13" t="s">
        <v>567</v>
      </c>
      <c r="D16" s="13" t="s">
        <v>58</v>
      </c>
      <c r="E16" s="13" t="s">
        <v>24</v>
      </c>
      <c r="F16" s="13" t="s">
        <v>564</v>
      </c>
      <c r="G16" s="18" t="s">
        <v>568</v>
      </c>
    </row>
    <row r="17" spans="1:7" ht="30" customHeight="1" x14ac:dyDescent="0.35">
      <c r="A17" s="13" t="s">
        <v>565</v>
      </c>
      <c r="B17" s="18" t="s">
        <v>89</v>
      </c>
      <c r="C17" s="13" t="s">
        <v>90</v>
      </c>
      <c r="D17" s="13" t="s">
        <v>58</v>
      </c>
      <c r="E17" s="13" t="s">
        <v>32</v>
      </c>
      <c r="F17" s="13" t="s">
        <v>564</v>
      </c>
      <c r="G17" s="18" t="s">
        <v>91</v>
      </c>
    </row>
  </sheetData>
  <autoFilter ref="A1:G17" xr:uid="{00000000-0009-0000-0000-000002000000}"/>
  <phoneticPr fontId="9" type="noConversion"/>
  <conditionalFormatting sqref="D1:D1048576">
    <cfRule type="cellIs" dxfId="16" priority="1" operator="equal">
      <formula>"Bloqueado"</formula>
    </cfRule>
    <cfRule type="cellIs" dxfId="15" priority="2" operator="equal">
      <formula>"Concluído"</formula>
    </cfRule>
    <cfRule type="cellIs" dxfId="14" priority="3" operator="equal">
      <formula>"Em andamento"</formula>
    </cfRule>
  </conditionalFormatting>
  <conditionalFormatting sqref="D2:D201">
    <cfRule type="expression" dxfId="13" priority="4">
      <formula>D2="Aprovado"</formula>
    </cfRule>
    <cfRule type="expression" dxfId="12" priority="5">
      <formula>D2="Concluído"</formula>
    </cfRule>
    <cfRule type="expression" dxfId="11" priority="6">
      <formula>D2="Reprovado"</formula>
    </cfRule>
    <cfRule type="expression" dxfId="10" priority="7">
      <formula>D2="Bloqueado"</formula>
    </cfRule>
    <cfRule type="expression" dxfId="9" priority="8">
      <formula>D2="Em andamento"</formula>
    </cfRule>
  </conditionalFormatting>
  <dataValidations count="2">
    <dataValidation type="list" allowBlank="1" sqref="D2:D101" xr:uid="{00000000-0002-0000-0200-000000000000}">
      <formula1>"Não iniciado,Em andamento,Concluído,Bloqueado"</formula1>
    </dataValidation>
    <dataValidation type="list" allowBlank="1" sqref="E2:E101 I2:J201" xr:uid="{00000000-0002-0000-0200-000001000000}">
      <formula1>"Alta,Média,Baixa"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4"/>
  <sheetViews>
    <sheetView showGridLines="0" workbookViewId="0">
      <pane ySplit="1" topLeftCell="A13" activePane="bottomLeft" state="frozen"/>
      <selection pane="bottomLeft" activeCell="D7" sqref="D7"/>
    </sheetView>
  </sheetViews>
  <sheetFormatPr defaultRowHeight="14.5" x14ac:dyDescent="0.35"/>
  <cols>
    <col min="1" max="1" width="15" style="8" customWidth="1"/>
    <col min="2" max="3" width="20" style="8" customWidth="1"/>
    <col min="4" max="4" width="38" style="8" customWidth="1"/>
    <col min="5" max="5" width="14" style="9" customWidth="1"/>
    <col min="6" max="6" width="35" style="8" customWidth="1"/>
    <col min="7" max="8" width="55" style="8" customWidth="1"/>
    <col min="9" max="9" width="35" style="8" customWidth="1"/>
    <col min="10" max="10" width="18" style="9" customWidth="1"/>
    <col min="11" max="11" width="14" style="9" customWidth="1"/>
    <col min="12" max="12" width="35" style="8" customWidth="1"/>
    <col min="13" max="16384" width="8.7265625" style="8"/>
  </cols>
  <sheetData>
    <row r="1" spans="1:12" s="9" customFormat="1" ht="30" customHeight="1" x14ac:dyDescent="0.35">
      <c r="A1" s="10" t="s">
        <v>44</v>
      </c>
      <c r="B1" s="10" t="s">
        <v>16</v>
      </c>
      <c r="C1" s="10" t="s">
        <v>92</v>
      </c>
      <c r="D1" s="10" t="s">
        <v>93</v>
      </c>
      <c r="E1" s="10" t="s">
        <v>94</v>
      </c>
      <c r="F1" s="10" t="s">
        <v>95</v>
      </c>
      <c r="G1" s="10" t="s">
        <v>96</v>
      </c>
      <c r="H1" s="10" t="s">
        <v>97</v>
      </c>
      <c r="I1" s="10" t="s">
        <v>98</v>
      </c>
      <c r="J1" s="10" t="s">
        <v>47</v>
      </c>
      <c r="K1" s="10" t="s">
        <v>18</v>
      </c>
      <c r="L1" s="10" t="s">
        <v>21</v>
      </c>
    </row>
    <row r="2" spans="1:12" x14ac:dyDescent="0.35">
      <c r="A2" s="28" t="s">
        <v>22</v>
      </c>
      <c r="B2" s="29"/>
      <c r="C2" s="29"/>
      <c r="D2" s="29"/>
      <c r="E2" s="29"/>
      <c r="F2" s="29"/>
      <c r="G2" s="29"/>
      <c r="H2" s="29"/>
      <c r="I2" s="29"/>
      <c r="J2" s="29"/>
      <c r="K2" s="29"/>
      <c r="L2" s="30"/>
    </row>
    <row r="3" spans="1:12" ht="58" x14ac:dyDescent="0.35">
      <c r="A3" s="6" t="s">
        <v>99</v>
      </c>
      <c r="B3" s="6" t="s">
        <v>22</v>
      </c>
      <c r="C3" s="6" t="s">
        <v>100</v>
      </c>
      <c r="D3" s="6" t="s">
        <v>101</v>
      </c>
      <c r="E3" s="13" t="s">
        <v>102</v>
      </c>
      <c r="F3" s="6" t="s">
        <v>103</v>
      </c>
      <c r="G3" s="6" t="s">
        <v>104</v>
      </c>
      <c r="H3" s="6" t="s">
        <v>105</v>
      </c>
      <c r="I3" s="6" t="s">
        <v>348</v>
      </c>
      <c r="J3" s="13" t="s">
        <v>346</v>
      </c>
      <c r="K3" s="13" t="s">
        <v>24</v>
      </c>
      <c r="L3" s="6"/>
    </row>
    <row r="4" spans="1:12" ht="58" x14ac:dyDescent="0.35">
      <c r="A4" s="6" t="s">
        <v>106</v>
      </c>
      <c r="B4" s="6" t="s">
        <v>22</v>
      </c>
      <c r="C4" s="6" t="s">
        <v>100</v>
      </c>
      <c r="D4" s="6" t="s">
        <v>107</v>
      </c>
      <c r="E4" s="13" t="s">
        <v>108</v>
      </c>
      <c r="F4" s="6" t="s">
        <v>103</v>
      </c>
      <c r="G4" s="6" t="s">
        <v>109</v>
      </c>
      <c r="H4" s="6" t="s">
        <v>110</v>
      </c>
      <c r="I4" s="6" t="s">
        <v>349</v>
      </c>
      <c r="J4" s="13" t="s">
        <v>346</v>
      </c>
      <c r="K4" s="13" t="s">
        <v>24</v>
      </c>
      <c r="L4" s="6"/>
    </row>
    <row r="5" spans="1:12" ht="58" x14ac:dyDescent="0.35">
      <c r="A5" s="6" t="s">
        <v>111</v>
      </c>
      <c r="B5" s="6" t="s">
        <v>22</v>
      </c>
      <c r="C5" s="6" t="s">
        <v>100</v>
      </c>
      <c r="D5" s="6" t="s">
        <v>112</v>
      </c>
      <c r="E5" s="13" t="s">
        <v>108</v>
      </c>
      <c r="F5" s="6" t="s">
        <v>113</v>
      </c>
      <c r="G5" s="6" t="s">
        <v>114</v>
      </c>
      <c r="H5" s="6" t="s">
        <v>115</v>
      </c>
      <c r="I5" s="6" t="s">
        <v>349</v>
      </c>
      <c r="J5" s="13" t="s">
        <v>346</v>
      </c>
      <c r="K5" s="13" t="s">
        <v>24</v>
      </c>
      <c r="L5" s="6"/>
    </row>
    <row r="6" spans="1:12" ht="43.5" x14ac:dyDescent="0.35">
      <c r="A6" s="6" t="s">
        <v>116</v>
      </c>
      <c r="B6" s="6" t="s">
        <v>22</v>
      </c>
      <c r="C6" s="6" t="s">
        <v>117</v>
      </c>
      <c r="D6" s="6" t="s">
        <v>118</v>
      </c>
      <c r="E6" s="13" t="s">
        <v>108</v>
      </c>
      <c r="F6" s="6" t="s">
        <v>113</v>
      </c>
      <c r="G6" s="6" t="s">
        <v>119</v>
      </c>
      <c r="H6" s="6" t="s">
        <v>120</v>
      </c>
      <c r="I6" s="6" t="s">
        <v>350</v>
      </c>
      <c r="J6" s="13" t="s">
        <v>346</v>
      </c>
      <c r="K6" s="13" t="s">
        <v>24</v>
      </c>
      <c r="L6" s="6"/>
    </row>
    <row r="7" spans="1:12" ht="43.5" x14ac:dyDescent="0.35">
      <c r="A7" s="6" t="s">
        <v>121</v>
      </c>
      <c r="B7" s="6" t="s">
        <v>22</v>
      </c>
      <c r="C7" s="6" t="s">
        <v>122</v>
      </c>
      <c r="D7" s="6" t="s">
        <v>123</v>
      </c>
      <c r="E7" s="13" t="s">
        <v>102</v>
      </c>
      <c r="F7" s="6" t="s">
        <v>113</v>
      </c>
      <c r="G7" s="6" t="s">
        <v>124</v>
      </c>
      <c r="H7" s="6" t="s">
        <v>125</v>
      </c>
      <c r="I7" s="6" t="s">
        <v>351</v>
      </c>
      <c r="J7" s="13" t="s">
        <v>346</v>
      </c>
      <c r="K7" s="13" t="s">
        <v>32</v>
      </c>
      <c r="L7" s="6"/>
    </row>
    <row r="8" spans="1:12" ht="43.5" x14ac:dyDescent="0.35">
      <c r="A8" s="6" t="s">
        <v>126</v>
      </c>
      <c r="B8" s="6" t="s">
        <v>22</v>
      </c>
      <c r="C8" s="6" t="s">
        <v>43</v>
      </c>
      <c r="D8" s="6" t="s">
        <v>127</v>
      </c>
      <c r="E8" s="13" t="s">
        <v>102</v>
      </c>
      <c r="F8" s="6" t="s">
        <v>113</v>
      </c>
      <c r="G8" s="6" t="s">
        <v>128</v>
      </c>
      <c r="H8" s="6" t="s">
        <v>129</v>
      </c>
      <c r="I8" s="6" t="s">
        <v>352</v>
      </c>
      <c r="J8" s="13" t="s">
        <v>346</v>
      </c>
      <c r="K8" s="13" t="s">
        <v>24</v>
      </c>
      <c r="L8" s="6"/>
    </row>
    <row r="9" spans="1:12" ht="43.5" x14ac:dyDescent="0.35">
      <c r="A9" s="6" t="s">
        <v>130</v>
      </c>
      <c r="B9" s="6" t="s">
        <v>22</v>
      </c>
      <c r="C9" s="6" t="s">
        <v>131</v>
      </c>
      <c r="D9" s="6" t="s">
        <v>132</v>
      </c>
      <c r="E9" s="13" t="s">
        <v>102</v>
      </c>
      <c r="F9" s="6" t="s">
        <v>133</v>
      </c>
      <c r="G9" s="6" t="s">
        <v>134</v>
      </c>
      <c r="H9" s="6" t="s">
        <v>135</v>
      </c>
      <c r="I9" s="6" t="s">
        <v>353</v>
      </c>
      <c r="J9" s="13" t="s">
        <v>346</v>
      </c>
      <c r="K9" s="13" t="s">
        <v>24</v>
      </c>
      <c r="L9" s="6"/>
    </row>
    <row r="10" spans="1:12" x14ac:dyDescent="0.35">
      <c r="A10" s="28" t="s">
        <v>364</v>
      </c>
      <c r="B10" s="29"/>
      <c r="C10" s="29"/>
      <c r="D10" s="29"/>
      <c r="E10" s="29"/>
      <c r="F10" s="29"/>
      <c r="G10" s="29"/>
      <c r="H10" s="29"/>
      <c r="I10" s="29"/>
      <c r="J10" s="29"/>
      <c r="K10" s="29"/>
      <c r="L10" s="30"/>
    </row>
    <row r="11" spans="1:12" ht="29" x14ac:dyDescent="0.35">
      <c r="A11" s="6" t="s">
        <v>136</v>
      </c>
      <c r="B11" s="6" t="s">
        <v>27</v>
      </c>
      <c r="C11" s="6" t="s">
        <v>137</v>
      </c>
      <c r="D11" s="6" t="s">
        <v>138</v>
      </c>
      <c r="E11" s="13" t="s">
        <v>102</v>
      </c>
      <c r="F11" s="6" t="s">
        <v>133</v>
      </c>
      <c r="G11" s="6" t="s">
        <v>139</v>
      </c>
      <c r="H11" s="6" t="s">
        <v>140</v>
      </c>
      <c r="I11" s="6" t="s">
        <v>354</v>
      </c>
      <c r="J11" s="13" t="s">
        <v>346</v>
      </c>
      <c r="K11" s="13" t="s">
        <v>24</v>
      </c>
      <c r="L11" s="6"/>
    </row>
    <row r="12" spans="1:12" ht="29" x14ac:dyDescent="0.35">
      <c r="A12" s="6" t="s">
        <v>141</v>
      </c>
      <c r="B12" s="6" t="s">
        <v>27</v>
      </c>
      <c r="C12" s="6" t="s">
        <v>142</v>
      </c>
      <c r="D12" s="6" t="s">
        <v>143</v>
      </c>
      <c r="E12" s="13" t="s">
        <v>102</v>
      </c>
      <c r="F12" s="6" t="s">
        <v>133</v>
      </c>
      <c r="G12" s="6" t="s">
        <v>144</v>
      </c>
      <c r="H12" s="6" t="s">
        <v>145</v>
      </c>
      <c r="I12" s="6" t="s">
        <v>355</v>
      </c>
      <c r="J12" s="13" t="s">
        <v>346</v>
      </c>
      <c r="K12" s="13" t="s">
        <v>24</v>
      </c>
      <c r="L12" s="6"/>
    </row>
    <row r="13" spans="1:12" ht="29" x14ac:dyDescent="0.35">
      <c r="A13" s="6" t="s">
        <v>146</v>
      </c>
      <c r="B13" s="6" t="s">
        <v>27</v>
      </c>
      <c r="C13" s="6" t="s">
        <v>147</v>
      </c>
      <c r="D13" s="6" t="s">
        <v>148</v>
      </c>
      <c r="E13" s="13" t="s">
        <v>102</v>
      </c>
      <c r="F13" s="6" t="s">
        <v>149</v>
      </c>
      <c r="G13" s="6" t="s">
        <v>150</v>
      </c>
      <c r="H13" s="6" t="s">
        <v>151</v>
      </c>
      <c r="I13" s="6" t="s">
        <v>394</v>
      </c>
      <c r="J13" s="13" t="s">
        <v>346</v>
      </c>
      <c r="K13" s="13" t="s">
        <v>24</v>
      </c>
      <c r="L13" s="6"/>
    </row>
    <row r="14" spans="1:12" ht="29" x14ac:dyDescent="0.35">
      <c r="A14" s="6" t="s">
        <v>152</v>
      </c>
      <c r="B14" s="6" t="s">
        <v>27</v>
      </c>
      <c r="C14" s="6" t="s">
        <v>33</v>
      </c>
      <c r="D14" s="6" t="s">
        <v>153</v>
      </c>
      <c r="E14" s="13" t="s">
        <v>102</v>
      </c>
      <c r="F14" s="6" t="s">
        <v>154</v>
      </c>
      <c r="G14" s="6" t="s">
        <v>155</v>
      </c>
      <c r="H14" s="6" t="s">
        <v>156</v>
      </c>
      <c r="I14" s="6" t="s">
        <v>395</v>
      </c>
      <c r="J14" s="13" t="s">
        <v>346</v>
      </c>
      <c r="K14" s="13" t="s">
        <v>24</v>
      </c>
      <c r="L14" s="6"/>
    </row>
    <row r="15" spans="1:12" ht="29" x14ac:dyDescent="0.35">
      <c r="A15" s="6" t="s">
        <v>157</v>
      </c>
      <c r="B15" s="6" t="s">
        <v>27</v>
      </c>
      <c r="C15" s="6" t="s">
        <v>39</v>
      </c>
      <c r="D15" s="6" t="s">
        <v>158</v>
      </c>
      <c r="E15" s="13" t="s">
        <v>102</v>
      </c>
      <c r="F15" s="6" t="s">
        <v>159</v>
      </c>
      <c r="G15" s="6" t="s">
        <v>160</v>
      </c>
      <c r="H15" s="6" t="s">
        <v>161</v>
      </c>
      <c r="I15" s="6" t="s">
        <v>396</v>
      </c>
      <c r="J15" s="13" t="s">
        <v>346</v>
      </c>
      <c r="K15" s="13" t="s">
        <v>32</v>
      </c>
      <c r="L15" s="6"/>
    </row>
    <row r="16" spans="1:12" ht="43.5" x14ac:dyDescent="0.35">
      <c r="A16" s="6" t="s">
        <v>162</v>
      </c>
      <c r="B16" s="6" t="s">
        <v>27</v>
      </c>
      <c r="C16" s="6" t="s">
        <v>163</v>
      </c>
      <c r="D16" s="6" t="s">
        <v>164</v>
      </c>
      <c r="E16" s="13" t="s">
        <v>102</v>
      </c>
      <c r="F16" s="6" t="s">
        <v>165</v>
      </c>
      <c r="G16" s="6" t="s">
        <v>166</v>
      </c>
      <c r="H16" s="6" t="s">
        <v>167</v>
      </c>
      <c r="I16" s="6" t="s">
        <v>397</v>
      </c>
      <c r="J16" s="13" t="s">
        <v>346</v>
      </c>
      <c r="K16" s="13" t="s">
        <v>32</v>
      </c>
      <c r="L16" s="6"/>
    </row>
    <row r="17" spans="1:12" ht="101.5" x14ac:dyDescent="0.35">
      <c r="A17" s="6" t="s">
        <v>356</v>
      </c>
      <c r="B17" s="6" t="s">
        <v>27</v>
      </c>
      <c r="C17" s="6" t="s">
        <v>357</v>
      </c>
      <c r="D17" s="6" t="s">
        <v>358</v>
      </c>
      <c r="E17" s="13" t="s">
        <v>102</v>
      </c>
      <c r="F17" s="6" t="s">
        <v>359</v>
      </c>
      <c r="G17" s="6" t="s">
        <v>360</v>
      </c>
      <c r="H17" s="6" t="s">
        <v>361</v>
      </c>
      <c r="I17" s="6" t="s">
        <v>362</v>
      </c>
      <c r="J17" s="13" t="s">
        <v>347</v>
      </c>
      <c r="K17" s="13" t="s">
        <v>32</v>
      </c>
      <c r="L17" s="6" t="s">
        <v>363</v>
      </c>
    </row>
    <row r="18" spans="1:12" ht="87" x14ac:dyDescent="0.35">
      <c r="A18" s="6" t="s">
        <v>371</v>
      </c>
      <c r="B18" s="6" t="s">
        <v>27</v>
      </c>
      <c r="C18" s="15" t="s">
        <v>372</v>
      </c>
      <c r="D18" s="15" t="s">
        <v>373</v>
      </c>
      <c r="E18" s="13" t="s">
        <v>102</v>
      </c>
      <c r="F18" s="6" t="s">
        <v>374</v>
      </c>
      <c r="G18" s="6" t="s">
        <v>375</v>
      </c>
      <c r="H18" s="6" t="s">
        <v>376</v>
      </c>
      <c r="I18" s="6" t="s">
        <v>377</v>
      </c>
      <c r="J18" s="13" t="s">
        <v>347</v>
      </c>
      <c r="K18" s="13" t="s">
        <v>32</v>
      </c>
      <c r="L18" s="6" t="s">
        <v>378</v>
      </c>
    </row>
    <row r="19" spans="1:12" ht="87" x14ac:dyDescent="0.35">
      <c r="A19" s="6" t="s">
        <v>426</v>
      </c>
      <c r="B19" s="6" t="s">
        <v>27</v>
      </c>
      <c r="C19" s="15" t="s">
        <v>494</v>
      </c>
      <c r="D19" s="15" t="s">
        <v>495</v>
      </c>
      <c r="E19" s="13" t="s">
        <v>102</v>
      </c>
      <c r="F19" s="6" t="s">
        <v>496</v>
      </c>
      <c r="G19" s="6" t="s">
        <v>497</v>
      </c>
      <c r="H19" s="6" t="s">
        <v>498</v>
      </c>
      <c r="I19" s="6" t="s">
        <v>499</v>
      </c>
      <c r="J19" s="13" t="s">
        <v>347</v>
      </c>
      <c r="K19" s="13" t="s">
        <v>32</v>
      </c>
      <c r="L19" s="6" t="s">
        <v>500</v>
      </c>
    </row>
    <row r="20" spans="1:12" x14ac:dyDescent="0.35">
      <c r="A20" s="28" t="s">
        <v>30</v>
      </c>
      <c r="B20" s="29"/>
      <c r="C20" s="29"/>
      <c r="D20" s="29"/>
      <c r="E20" s="29"/>
      <c r="F20" s="29"/>
      <c r="G20" s="29"/>
      <c r="H20" s="29"/>
      <c r="I20" s="29"/>
      <c r="J20" s="29"/>
      <c r="K20" s="29"/>
      <c r="L20" s="30"/>
    </row>
    <row r="21" spans="1:12" ht="29" x14ac:dyDescent="0.35">
      <c r="A21" s="6" t="s">
        <v>168</v>
      </c>
      <c r="B21" s="6" t="s">
        <v>30</v>
      </c>
      <c r="C21" s="6" t="s">
        <v>137</v>
      </c>
      <c r="D21" s="6" t="s">
        <v>169</v>
      </c>
      <c r="E21" s="13" t="s">
        <v>102</v>
      </c>
      <c r="F21" s="6" t="s">
        <v>133</v>
      </c>
      <c r="G21" s="6" t="s">
        <v>402</v>
      </c>
      <c r="H21" s="6" t="s">
        <v>170</v>
      </c>
      <c r="I21" s="6" t="s">
        <v>403</v>
      </c>
      <c r="J21" s="13" t="s">
        <v>346</v>
      </c>
      <c r="K21" s="13" t="s">
        <v>32</v>
      </c>
      <c r="L21" s="6"/>
    </row>
    <row r="22" spans="1:12" ht="29" x14ac:dyDescent="0.35">
      <c r="A22" s="6" t="s">
        <v>557</v>
      </c>
      <c r="B22" s="6" t="s">
        <v>30</v>
      </c>
      <c r="C22" s="6" t="s">
        <v>173</v>
      </c>
      <c r="D22" s="6" t="s">
        <v>174</v>
      </c>
      <c r="E22" s="13" t="s">
        <v>102</v>
      </c>
      <c r="F22" s="6" t="s">
        <v>171</v>
      </c>
      <c r="G22" s="6" t="s">
        <v>175</v>
      </c>
      <c r="H22" s="6" t="s">
        <v>404</v>
      </c>
      <c r="I22" s="6" t="s">
        <v>405</v>
      </c>
      <c r="J22" s="13" t="s">
        <v>346</v>
      </c>
      <c r="K22" s="13" t="s">
        <v>32</v>
      </c>
      <c r="L22" s="6"/>
    </row>
    <row r="23" spans="1:12" ht="43.5" x14ac:dyDescent="0.35">
      <c r="A23" s="6" t="s">
        <v>172</v>
      </c>
      <c r="B23" s="6" t="s">
        <v>30</v>
      </c>
      <c r="C23" s="6" t="s">
        <v>177</v>
      </c>
      <c r="D23" s="6" t="s">
        <v>178</v>
      </c>
      <c r="E23" s="13" t="s">
        <v>102</v>
      </c>
      <c r="F23" s="6" t="s">
        <v>179</v>
      </c>
      <c r="G23" s="6" t="s">
        <v>180</v>
      </c>
      <c r="H23" s="6" t="s">
        <v>181</v>
      </c>
      <c r="I23" s="6" t="s">
        <v>406</v>
      </c>
      <c r="J23" s="13" t="s">
        <v>346</v>
      </c>
      <c r="K23" s="13" t="s">
        <v>32</v>
      </c>
      <c r="L23" s="6"/>
    </row>
    <row r="24" spans="1:12" ht="43.5" x14ac:dyDescent="0.35">
      <c r="A24" s="6" t="s">
        <v>176</v>
      </c>
      <c r="B24" s="6" t="s">
        <v>30</v>
      </c>
      <c r="C24" s="6" t="s">
        <v>182</v>
      </c>
      <c r="D24" s="6" t="s">
        <v>183</v>
      </c>
      <c r="E24" s="13" t="s">
        <v>108</v>
      </c>
      <c r="F24" s="6" t="s">
        <v>179</v>
      </c>
      <c r="G24" s="6" t="s">
        <v>407</v>
      </c>
      <c r="H24" s="6" t="s">
        <v>408</v>
      </c>
      <c r="I24" s="6" t="s">
        <v>409</v>
      </c>
      <c r="J24" s="13" t="s">
        <v>346</v>
      </c>
      <c r="K24" s="13" t="s">
        <v>184</v>
      </c>
      <c r="L24" s="6"/>
    </row>
    <row r="25" spans="1:12" x14ac:dyDescent="0.35">
      <c r="A25" s="28" t="s">
        <v>33</v>
      </c>
      <c r="B25" s="29"/>
      <c r="C25" s="29"/>
      <c r="D25" s="29"/>
      <c r="E25" s="29"/>
      <c r="F25" s="29"/>
      <c r="G25" s="29"/>
      <c r="H25" s="29"/>
      <c r="I25" s="29"/>
      <c r="J25" s="29"/>
      <c r="K25" s="29"/>
      <c r="L25" s="30"/>
    </row>
    <row r="26" spans="1:12" ht="29" x14ac:dyDescent="0.35">
      <c r="A26" s="6" t="s">
        <v>185</v>
      </c>
      <c r="B26" s="6" t="s">
        <v>33</v>
      </c>
      <c r="C26" s="6" t="s">
        <v>186</v>
      </c>
      <c r="D26" s="6" t="s">
        <v>187</v>
      </c>
      <c r="E26" s="13" t="s">
        <v>102</v>
      </c>
      <c r="F26" s="6" t="s">
        <v>133</v>
      </c>
      <c r="G26" s="6" t="s">
        <v>188</v>
      </c>
      <c r="H26" s="6" t="s">
        <v>189</v>
      </c>
      <c r="I26" s="6" t="s">
        <v>410</v>
      </c>
      <c r="J26" s="13" t="s">
        <v>346</v>
      </c>
      <c r="K26" s="13" t="s">
        <v>24</v>
      </c>
      <c r="L26" s="6"/>
    </row>
    <row r="27" spans="1:12" ht="29" x14ac:dyDescent="0.35">
      <c r="A27" s="6" t="s">
        <v>190</v>
      </c>
      <c r="B27" s="6" t="s">
        <v>33</v>
      </c>
      <c r="C27" s="6" t="s">
        <v>186</v>
      </c>
      <c r="D27" s="6" t="s">
        <v>191</v>
      </c>
      <c r="E27" s="13" t="s">
        <v>102</v>
      </c>
      <c r="F27" s="6" t="s">
        <v>133</v>
      </c>
      <c r="G27" s="6" t="s">
        <v>192</v>
      </c>
      <c r="H27" s="6" t="s">
        <v>193</v>
      </c>
      <c r="I27" s="6" t="s">
        <v>411</v>
      </c>
      <c r="J27" s="13" t="s">
        <v>346</v>
      </c>
      <c r="K27" s="13" t="s">
        <v>32</v>
      </c>
      <c r="L27" s="6"/>
    </row>
    <row r="28" spans="1:12" ht="29" x14ac:dyDescent="0.35">
      <c r="A28" s="6" t="s">
        <v>194</v>
      </c>
      <c r="B28" s="6" t="s">
        <v>33</v>
      </c>
      <c r="C28" s="6" t="s">
        <v>195</v>
      </c>
      <c r="D28" s="6" t="s">
        <v>196</v>
      </c>
      <c r="E28" s="13" t="s">
        <v>102</v>
      </c>
      <c r="F28" s="6" t="s">
        <v>197</v>
      </c>
      <c r="G28" s="6" t="s">
        <v>198</v>
      </c>
      <c r="H28" s="6" t="s">
        <v>199</v>
      </c>
      <c r="I28" s="6" t="s">
        <v>417</v>
      </c>
      <c r="J28" s="13" t="s">
        <v>346</v>
      </c>
      <c r="K28" s="13" t="s">
        <v>24</v>
      </c>
      <c r="L28" s="6"/>
    </row>
    <row r="29" spans="1:12" ht="58" x14ac:dyDescent="0.35">
      <c r="A29" s="6" t="s">
        <v>200</v>
      </c>
      <c r="B29" s="6" t="s">
        <v>33</v>
      </c>
      <c r="C29" s="6" t="s">
        <v>201</v>
      </c>
      <c r="D29" s="6" t="s">
        <v>202</v>
      </c>
      <c r="E29" s="13" t="s">
        <v>102</v>
      </c>
      <c r="F29" s="6" t="s">
        <v>133</v>
      </c>
      <c r="G29" s="6" t="s">
        <v>203</v>
      </c>
      <c r="H29" s="6" t="s">
        <v>418</v>
      </c>
      <c r="I29" s="6" t="s">
        <v>419</v>
      </c>
      <c r="J29" s="13" t="s">
        <v>346</v>
      </c>
      <c r="K29" s="13" t="s">
        <v>24</v>
      </c>
      <c r="L29" s="6"/>
    </row>
    <row r="30" spans="1:12" ht="58" x14ac:dyDescent="0.35">
      <c r="A30" s="6" t="s">
        <v>204</v>
      </c>
      <c r="B30" s="6" t="s">
        <v>33</v>
      </c>
      <c r="C30" s="6" t="s">
        <v>205</v>
      </c>
      <c r="D30" s="6" t="s">
        <v>206</v>
      </c>
      <c r="E30" s="13" t="s">
        <v>102</v>
      </c>
      <c r="F30" s="6" t="s">
        <v>207</v>
      </c>
      <c r="G30" s="6" t="s">
        <v>208</v>
      </c>
      <c r="H30" s="6" t="s">
        <v>209</v>
      </c>
      <c r="I30" s="6" t="s">
        <v>420</v>
      </c>
      <c r="J30" s="13" t="s">
        <v>346</v>
      </c>
      <c r="K30" s="13" t="s">
        <v>24</v>
      </c>
      <c r="L30" s="6"/>
    </row>
    <row r="31" spans="1:12" ht="43.5" x14ac:dyDescent="0.35">
      <c r="A31" s="6" t="s">
        <v>210</v>
      </c>
      <c r="B31" s="6" t="s">
        <v>33</v>
      </c>
      <c r="C31" s="6" t="s">
        <v>211</v>
      </c>
      <c r="D31" s="6" t="s">
        <v>212</v>
      </c>
      <c r="E31" s="13" t="s">
        <v>108</v>
      </c>
      <c r="F31" s="6" t="s">
        <v>213</v>
      </c>
      <c r="G31" s="6" t="s">
        <v>214</v>
      </c>
      <c r="H31" s="6" t="s">
        <v>215</v>
      </c>
      <c r="I31" s="6" t="s">
        <v>421</v>
      </c>
      <c r="J31" s="13" t="s">
        <v>346</v>
      </c>
      <c r="K31" s="13" t="s">
        <v>24</v>
      </c>
      <c r="L31" s="6"/>
    </row>
    <row r="32" spans="1:12" ht="29" x14ac:dyDescent="0.35">
      <c r="A32" s="6" t="s">
        <v>216</v>
      </c>
      <c r="B32" s="6" t="s">
        <v>33</v>
      </c>
      <c r="C32" s="6" t="s">
        <v>217</v>
      </c>
      <c r="D32" s="6" t="s">
        <v>218</v>
      </c>
      <c r="E32" s="13" t="s">
        <v>102</v>
      </c>
      <c r="F32" s="6" t="s">
        <v>219</v>
      </c>
      <c r="G32" s="6" t="s">
        <v>220</v>
      </c>
      <c r="H32" s="6" t="s">
        <v>221</v>
      </c>
      <c r="I32" s="6" t="s">
        <v>422</v>
      </c>
      <c r="J32" s="13" t="s">
        <v>346</v>
      </c>
      <c r="K32" s="13" t="s">
        <v>32</v>
      </c>
      <c r="L32" s="6"/>
    </row>
    <row r="33" spans="1:12" ht="29" x14ac:dyDescent="0.35">
      <c r="A33" s="6" t="s">
        <v>222</v>
      </c>
      <c r="B33" s="6" t="s">
        <v>33</v>
      </c>
      <c r="C33" s="6" t="s">
        <v>223</v>
      </c>
      <c r="D33" s="6" t="s">
        <v>224</v>
      </c>
      <c r="E33" s="13" t="s">
        <v>102</v>
      </c>
      <c r="F33" s="6" t="s">
        <v>225</v>
      </c>
      <c r="G33" s="6" t="s">
        <v>226</v>
      </c>
      <c r="H33" s="6" t="s">
        <v>227</v>
      </c>
      <c r="I33" s="6" t="s">
        <v>423</v>
      </c>
      <c r="J33" s="13" t="s">
        <v>346</v>
      </c>
      <c r="K33" s="13" t="s">
        <v>32</v>
      </c>
      <c r="L33" s="6"/>
    </row>
    <row r="34" spans="1:12" x14ac:dyDescent="0.35">
      <c r="A34" s="28" t="s">
        <v>35</v>
      </c>
      <c r="B34" s="29"/>
      <c r="C34" s="29"/>
      <c r="D34" s="29"/>
      <c r="E34" s="29"/>
      <c r="F34" s="29"/>
      <c r="G34" s="29"/>
      <c r="H34" s="29"/>
      <c r="I34" s="29"/>
      <c r="J34" s="29"/>
      <c r="K34" s="29"/>
      <c r="L34" s="30"/>
    </row>
    <row r="35" spans="1:12" ht="29" x14ac:dyDescent="0.35">
      <c r="A35" s="6" t="s">
        <v>228</v>
      </c>
      <c r="B35" s="6" t="s">
        <v>35</v>
      </c>
      <c r="C35" s="6" t="s">
        <v>186</v>
      </c>
      <c r="D35" s="6" t="s">
        <v>229</v>
      </c>
      <c r="E35" s="13" t="s">
        <v>102</v>
      </c>
      <c r="F35" s="6" t="s">
        <v>133</v>
      </c>
      <c r="G35" s="6" t="s">
        <v>230</v>
      </c>
      <c r="H35" s="6" t="s">
        <v>231</v>
      </c>
      <c r="I35" s="6" t="s">
        <v>424</v>
      </c>
      <c r="J35" s="13" t="s">
        <v>346</v>
      </c>
      <c r="K35" s="13" t="s">
        <v>32</v>
      </c>
      <c r="L35" s="6"/>
    </row>
    <row r="36" spans="1:12" ht="29" x14ac:dyDescent="0.35">
      <c r="A36" s="6" t="s">
        <v>232</v>
      </c>
      <c r="B36" s="6" t="s">
        <v>35</v>
      </c>
      <c r="C36" s="6" t="s">
        <v>233</v>
      </c>
      <c r="D36" s="6" t="s">
        <v>439</v>
      </c>
      <c r="E36" s="13" t="s">
        <v>102</v>
      </c>
      <c r="F36" s="6" t="s">
        <v>440</v>
      </c>
      <c r="G36" s="6" t="s">
        <v>234</v>
      </c>
      <c r="H36" s="6" t="s">
        <v>235</v>
      </c>
      <c r="I36" s="6" t="s">
        <v>441</v>
      </c>
      <c r="J36" s="13" t="s">
        <v>346</v>
      </c>
      <c r="K36" s="13" t="s">
        <v>32</v>
      </c>
      <c r="L36" s="6"/>
    </row>
    <row r="37" spans="1:12" ht="29" x14ac:dyDescent="0.35">
      <c r="A37" s="6" t="s">
        <v>236</v>
      </c>
      <c r="B37" s="6" t="s">
        <v>35</v>
      </c>
      <c r="C37" s="6" t="s">
        <v>237</v>
      </c>
      <c r="D37" s="6" t="s">
        <v>238</v>
      </c>
      <c r="E37" s="13" t="s">
        <v>102</v>
      </c>
      <c r="F37" s="6" t="s">
        <v>239</v>
      </c>
      <c r="G37" s="6" t="s">
        <v>240</v>
      </c>
      <c r="H37" s="6" t="s">
        <v>241</v>
      </c>
      <c r="I37" s="6" t="s">
        <v>442</v>
      </c>
      <c r="J37" s="13" t="s">
        <v>346</v>
      </c>
      <c r="K37" s="13" t="s">
        <v>24</v>
      </c>
      <c r="L37" s="6"/>
    </row>
    <row r="38" spans="1:12" ht="29" x14ac:dyDescent="0.35">
      <c r="A38" s="6" t="s">
        <v>242</v>
      </c>
      <c r="B38" s="6" t="s">
        <v>35</v>
      </c>
      <c r="C38" s="6" t="s">
        <v>243</v>
      </c>
      <c r="D38" s="6" t="s">
        <v>244</v>
      </c>
      <c r="E38" s="13" t="s">
        <v>102</v>
      </c>
      <c r="F38" s="6" t="s">
        <v>239</v>
      </c>
      <c r="G38" s="6" t="s">
        <v>245</v>
      </c>
      <c r="H38" s="6" t="s">
        <v>246</v>
      </c>
      <c r="I38" s="6" t="s">
        <v>443</v>
      </c>
      <c r="J38" s="13" t="s">
        <v>346</v>
      </c>
      <c r="K38" s="13" t="s">
        <v>24</v>
      </c>
      <c r="L38" s="6"/>
    </row>
    <row r="39" spans="1:12" ht="174" x14ac:dyDescent="0.35">
      <c r="A39" s="6" t="s">
        <v>247</v>
      </c>
      <c r="B39" s="6" t="s">
        <v>35</v>
      </c>
      <c r="C39" s="6" t="s">
        <v>433</v>
      </c>
      <c r="D39" s="6" t="s">
        <v>434</v>
      </c>
      <c r="E39" s="13" t="s">
        <v>108</v>
      </c>
      <c r="F39" s="6" t="s">
        <v>435</v>
      </c>
      <c r="G39" s="6" t="s">
        <v>438</v>
      </c>
      <c r="H39" s="6" t="s">
        <v>436</v>
      </c>
      <c r="I39" s="6" t="s">
        <v>437</v>
      </c>
      <c r="J39" s="13" t="s">
        <v>347</v>
      </c>
      <c r="K39" s="13" t="s">
        <v>432</v>
      </c>
      <c r="L39" s="6" t="s">
        <v>444</v>
      </c>
    </row>
    <row r="40" spans="1:12" x14ac:dyDescent="0.35">
      <c r="A40" s="28" t="s">
        <v>37</v>
      </c>
      <c r="B40" s="29"/>
      <c r="C40" s="29"/>
      <c r="D40" s="29"/>
      <c r="E40" s="29"/>
      <c r="F40" s="29"/>
      <c r="G40" s="29"/>
      <c r="H40" s="29"/>
      <c r="I40" s="29"/>
      <c r="J40" s="29"/>
      <c r="K40" s="29"/>
      <c r="L40" s="30"/>
    </row>
    <row r="41" spans="1:12" x14ac:dyDescent="0.35">
      <c r="A41" s="6" t="s">
        <v>558</v>
      </c>
      <c r="B41" s="6" t="s">
        <v>37</v>
      </c>
      <c r="C41" s="6" t="s">
        <v>195</v>
      </c>
      <c r="D41" s="6" t="s">
        <v>249</v>
      </c>
      <c r="E41" s="13" t="s">
        <v>102</v>
      </c>
      <c r="F41" s="6" t="s">
        <v>250</v>
      </c>
      <c r="G41" s="6" t="s">
        <v>251</v>
      </c>
      <c r="H41" s="6" t="s">
        <v>252</v>
      </c>
      <c r="I41" s="6" t="s">
        <v>449</v>
      </c>
      <c r="J41" s="13" t="s">
        <v>346</v>
      </c>
      <c r="K41" s="13" t="s">
        <v>24</v>
      </c>
      <c r="L41" s="6"/>
    </row>
    <row r="42" spans="1:12" ht="29" x14ac:dyDescent="0.35">
      <c r="A42" s="6" t="s">
        <v>248</v>
      </c>
      <c r="B42" s="6" t="s">
        <v>37</v>
      </c>
      <c r="C42" s="6" t="s">
        <v>254</v>
      </c>
      <c r="D42" s="6" t="s">
        <v>255</v>
      </c>
      <c r="E42" s="13" t="s">
        <v>102</v>
      </c>
      <c r="F42" s="6" t="s">
        <v>256</v>
      </c>
      <c r="G42" s="6" t="s">
        <v>257</v>
      </c>
      <c r="H42" s="6" t="s">
        <v>258</v>
      </c>
      <c r="I42" s="6" t="s">
        <v>450</v>
      </c>
      <c r="J42" s="13" t="s">
        <v>346</v>
      </c>
      <c r="K42" s="13" t="s">
        <v>24</v>
      </c>
      <c r="L42" s="6"/>
    </row>
    <row r="43" spans="1:12" ht="29" x14ac:dyDescent="0.35">
      <c r="A43" s="6" t="s">
        <v>253</v>
      </c>
      <c r="B43" s="6" t="s">
        <v>37</v>
      </c>
      <c r="C43" s="6" t="s">
        <v>254</v>
      </c>
      <c r="D43" s="6" t="s">
        <v>260</v>
      </c>
      <c r="E43" s="13" t="s">
        <v>102</v>
      </c>
      <c r="F43" s="6" t="s">
        <v>256</v>
      </c>
      <c r="G43" s="6" t="s">
        <v>261</v>
      </c>
      <c r="H43" s="6" t="s">
        <v>262</v>
      </c>
      <c r="I43" s="6" t="s">
        <v>451</v>
      </c>
      <c r="J43" s="13" t="s">
        <v>346</v>
      </c>
      <c r="K43" s="13" t="s">
        <v>32</v>
      </c>
      <c r="L43" s="6"/>
    </row>
    <row r="44" spans="1:12" ht="29" x14ac:dyDescent="0.35">
      <c r="A44" s="6" t="s">
        <v>259</v>
      </c>
      <c r="B44" s="6" t="s">
        <v>37</v>
      </c>
      <c r="C44" s="6" t="s">
        <v>264</v>
      </c>
      <c r="D44" s="6" t="s">
        <v>265</v>
      </c>
      <c r="E44" s="13" t="s">
        <v>102</v>
      </c>
      <c r="F44" s="6" t="s">
        <v>256</v>
      </c>
      <c r="G44" s="6" t="s">
        <v>266</v>
      </c>
      <c r="H44" s="6" t="s">
        <v>267</v>
      </c>
      <c r="I44" s="6" t="s">
        <v>452</v>
      </c>
      <c r="J44" s="13" t="s">
        <v>346</v>
      </c>
      <c r="K44" s="13" t="s">
        <v>24</v>
      </c>
      <c r="L44" s="6"/>
    </row>
    <row r="45" spans="1:12" ht="29" x14ac:dyDescent="0.35">
      <c r="A45" s="6" t="s">
        <v>263</v>
      </c>
      <c r="B45" s="6" t="s">
        <v>37</v>
      </c>
      <c r="C45" s="6" t="s">
        <v>269</v>
      </c>
      <c r="D45" s="6" t="s">
        <v>270</v>
      </c>
      <c r="E45" s="13" t="s">
        <v>102</v>
      </c>
      <c r="F45" s="6" t="s">
        <v>256</v>
      </c>
      <c r="G45" s="6" t="s">
        <v>271</v>
      </c>
      <c r="H45" s="6" t="s">
        <v>272</v>
      </c>
      <c r="I45" s="6" t="s">
        <v>453</v>
      </c>
      <c r="J45" s="13" t="s">
        <v>346</v>
      </c>
      <c r="K45" s="13" t="s">
        <v>32</v>
      </c>
      <c r="L45" s="6"/>
    </row>
    <row r="46" spans="1:12" ht="29" x14ac:dyDescent="0.35">
      <c r="A46" s="6" t="s">
        <v>268</v>
      </c>
      <c r="B46" s="6" t="s">
        <v>37</v>
      </c>
      <c r="C46" s="6" t="s">
        <v>274</v>
      </c>
      <c r="D46" s="6" t="s">
        <v>275</v>
      </c>
      <c r="E46" s="13" t="s">
        <v>102</v>
      </c>
      <c r="F46" s="6" t="s">
        <v>276</v>
      </c>
      <c r="G46" s="6" t="s">
        <v>277</v>
      </c>
      <c r="H46" s="6" t="s">
        <v>278</v>
      </c>
      <c r="I46" s="6" t="s">
        <v>454</v>
      </c>
      <c r="J46" s="13" t="s">
        <v>346</v>
      </c>
      <c r="K46" s="13" t="s">
        <v>24</v>
      </c>
      <c r="L46" s="6"/>
    </row>
    <row r="47" spans="1:12" ht="29" x14ac:dyDescent="0.35">
      <c r="A47" s="6" t="s">
        <v>273</v>
      </c>
      <c r="B47" s="6" t="s">
        <v>37</v>
      </c>
      <c r="C47" s="6" t="s">
        <v>274</v>
      </c>
      <c r="D47" s="6" t="s">
        <v>280</v>
      </c>
      <c r="E47" s="13" t="s">
        <v>102</v>
      </c>
      <c r="F47" s="6" t="s">
        <v>276</v>
      </c>
      <c r="G47" s="6" t="s">
        <v>281</v>
      </c>
      <c r="H47" s="6" t="s">
        <v>282</v>
      </c>
      <c r="I47" s="6" t="s">
        <v>455</v>
      </c>
      <c r="J47" s="13" t="s">
        <v>346</v>
      </c>
      <c r="K47" s="13" t="s">
        <v>24</v>
      </c>
      <c r="L47" s="6"/>
    </row>
    <row r="48" spans="1:12" ht="29" x14ac:dyDescent="0.35">
      <c r="A48" s="6" t="s">
        <v>279</v>
      </c>
      <c r="B48" s="6" t="s">
        <v>37</v>
      </c>
      <c r="C48" s="6" t="s">
        <v>284</v>
      </c>
      <c r="D48" s="6" t="s">
        <v>285</v>
      </c>
      <c r="E48" s="13" t="s">
        <v>102</v>
      </c>
      <c r="F48" s="6" t="s">
        <v>286</v>
      </c>
      <c r="G48" s="6" t="s">
        <v>287</v>
      </c>
      <c r="H48" s="6" t="s">
        <v>288</v>
      </c>
      <c r="I48" s="6" t="s">
        <v>456</v>
      </c>
      <c r="J48" s="13" t="s">
        <v>346</v>
      </c>
      <c r="K48" s="13" t="s">
        <v>32</v>
      </c>
      <c r="L48" s="6"/>
    </row>
    <row r="49" spans="1:12" ht="29" x14ac:dyDescent="0.35">
      <c r="A49" s="6" t="s">
        <v>283</v>
      </c>
      <c r="B49" s="6" t="s">
        <v>37</v>
      </c>
      <c r="C49" s="6" t="s">
        <v>289</v>
      </c>
      <c r="D49" s="6" t="s">
        <v>290</v>
      </c>
      <c r="E49" s="13" t="s">
        <v>102</v>
      </c>
      <c r="F49" s="6" t="s">
        <v>256</v>
      </c>
      <c r="G49" s="6" t="s">
        <v>291</v>
      </c>
      <c r="H49" s="6" t="s">
        <v>292</v>
      </c>
      <c r="I49" s="6" t="s">
        <v>457</v>
      </c>
      <c r="J49" s="13" t="s">
        <v>346</v>
      </c>
      <c r="K49" s="13" t="s">
        <v>184</v>
      </c>
      <c r="L49" s="6"/>
    </row>
    <row r="50" spans="1:12" x14ac:dyDescent="0.35">
      <c r="A50" s="28" t="s">
        <v>39</v>
      </c>
      <c r="B50" s="29"/>
      <c r="C50" s="29"/>
      <c r="D50" s="29"/>
      <c r="E50" s="29"/>
      <c r="F50" s="29"/>
      <c r="G50" s="29"/>
      <c r="H50" s="29"/>
      <c r="I50" s="29"/>
      <c r="J50" s="29"/>
      <c r="K50" s="29"/>
      <c r="L50" s="30"/>
    </row>
    <row r="51" spans="1:12" ht="29" x14ac:dyDescent="0.35">
      <c r="A51" s="6" t="s">
        <v>293</v>
      </c>
      <c r="B51" s="6" t="s">
        <v>39</v>
      </c>
      <c r="C51" s="6" t="s">
        <v>294</v>
      </c>
      <c r="D51" s="6" t="s">
        <v>295</v>
      </c>
      <c r="E51" s="13" t="s">
        <v>102</v>
      </c>
      <c r="F51" s="6" t="s">
        <v>133</v>
      </c>
      <c r="G51" s="6" t="s">
        <v>296</v>
      </c>
      <c r="H51" s="6" t="s">
        <v>297</v>
      </c>
      <c r="I51" s="6" t="s">
        <v>551</v>
      </c>
      <c r="J51" s="13" t="s">
        <v>346</v>
      </c>
      <c r="K51" s="13" t="s">
        <v>32</v>
      </c>
      <c r="L51" s="6"/>
    </row>
    <row r="52" spans="1:12" ht="43.5" x14ac:dyDescent="0.35">
      <c r="A52" s="6" t="s">
        <v>298</v>
      </c>
      <c r="B52" s="6" t="s">
        <v>39</v>
      </c>
      <c r="C52" s="6" t="s">
        <v>299</v>
      </c>
      <c r="D52" s="6" t="s">
        <v>300</v>
      </c>
      <c r="E52" s="13" t="s">
        <v>102</v>
      </c>
      <c r="F52" s="6" t="s">
        <v>301</v>
      </c>
      <c r="G52" s="6" t="s">
        <v>302</v>
      </c>
      <c r="H52" s="6" t="s">
        <v>303</v>
      </c>
      <c r="I52" s="6" t="s">
        <v>458</v>
      </c>
      <c r="J52" s="13" t="s">
        <v>346</v>
      </c>
      <c r="K52" s="13" t="s">
        <v>32</v>
      </c>
      <c r="L52" s="6"/>
    </row>
    <row r="53" spans="1:12" ht="29" x14ac:dyDescent="0.35">
      <c r="A53" s="6" t="s">
        <v>304</v>
      </c>
      <c r="B53" s="6" t="s">
        <v>39</v>
      </c>
      <c r="C53" s="6" t="s">
        <v>305</v>
      </c>
      <c r="D53" s="6" t="s">
        <v>306</v>
      </c>
      <c r="E53" s="13" t="s">
        <v>102</v>
      </c>
      <c r="F53" s="6" t="s">
        <v>307</v>
      </c>
      <c r="G53" s="6" t="s">
        <v>308</v>
      </c>
      <c r="H53" s="6" t="s">
        <v>309</v>
      </c>
      <c r="I53" s="6" t="s">
        <v>546</v>
      </c>
      <c r="J53" s="13" t="s">
        <v>346</v>
      </c>
      <c r="K53" s="13" t="s">
        <v>32</v>
      </c>
      <c r="L53" s="6"/>
    </row>
    <row r="54" spans="1:12" ht="29" x14ac:dyDescent="0.35">
      <c r="A54" s="6" t="s">
        <v>310</v>
      </c>
      <c r="B54" s="6" t="s">
        <v>39</v>
      </c>
      <c r="C54" s="6" t="s">
        <v>311</v>
      </c>
      <c r="D54" s="6" t="s">
        <v>312</v>
      </c>
      <c r="E54" s="13" t="s">
        <v>102</v>
      </c>
      <c r="F54" s="6" t="s">
        <v>313</v>
      </c>
      <c r="G54" s="6" t="s">
        <v>314</v>
      </c>
      <c r="H54" s="6" t="s">
        <v>315</v>
      </c>
      <c r="I54" s="6" t="s">
        <v>543</v>
      </c>
      <c r="J54" s="13" t="s">
        <v>346</v>
      </c>
      <c r="K54" s="13" t="s">
        <v>32</v>
      </c>
      <c r="L54" s="6"/>
    </row>
    <row r="55" spans="1:12" ht="43.5" x14ac:dyDescent="0.35">
      <c r="A55" s="6" t="s">
        <v>316</v>
      </c>
      <c r="B55" s="6" t="s">
        <v>39</v>
      </c>
      <c r="C55" s="6" t="s">
        <v>317</v>
      </c>
      <c r="D55" s="6" t="s">
        <v>318</v>
      </c>
      <c r="E55" s="13" t="s">
        <v>102</v>
      </c>
      <c r="F55" s="6" t="s">
        <v>313</v>
      </c>
      <c r="G55" s="6" t="s">
        <v>319</v>
      </c>
      <c r="H55" s="6" t="s">
        <v>320</v>
      </c>
      <c r="I55" s="6" t="s">
        <v>544</v>
      </c>
      <c r="J55" s="13" t="s">
        <v>346</v>
      </c>
      <c r="K55" s="13" t="s">
        <v>32</v>
      </c>
      <c r="L55" s="6"/>
    </row>
    <row r="56" spans="1:12" ht="29" x14ac:dyDescent="0.35">
      <c r="A56" s="6" t="s">
        <v>321</v>
      </c>
      <c r="B56" s="6" t="s">
        <v>39</v>
      </c>
      <c r="C56" s="6" t="s">
        <v>317</v>
      </c>
      <c r="D56" s="6" t="s">
        <v>322</v>
      </c>
      <c r="E56" s="13" t="s">
        <v>108</v>
      </c>
      <c r="F56" s="6" t="s">
        <v>323</v>
      </c>
      <c r="G56" s="6" t="s">
        <v>324</v>
      </c>
      <c r="H56" s="6" t="s">
        <v>325</v>
      </c>
      <c r="I56" s="6" t="s">
        <v>545</v>
      </c>
      <c r="J56" s="13" t="s">
        <v>346</v>
      </c>
      <c r="K56" s="13" t="s">
        <v>184</v>
      </c>
      <c r="L56" s="6"/>
    </row>
    <row r="57" spans="1:12" ht="72.5" x14ac:dyDescent="0.35">
      <c r="A57" s="6" t="s">
        <v>459</v>
      </c>
      <c r="B57" s="6" t="s">
        <v>39</v>
      </c>
      <c r="C57" s="6" t="s">
        <v>460</v>
      </c>
      <c r="D57" s="6" t="s">
        <v>461</v>
      </c>
      <c r="E57" s="13" t="s">
        <v>108</v>
      </c>
      <c r="F57" s="6" t="s">
        <v>462</v>
      </c>
      <c r="G57" s="6" t="s">
        <v>463</v>
      </c>
      <c r="H57" s="6" t="s">
        <v>464</v>
      </c>
      <c r="I57" s="6" t="s">
        <v>465</v>
      </c>
      <c r="J57" s="13" t="s">
        <v>347</v>
      </c>
      <c r="K57" s="13" t="s">
        <v>24</v>
      </c>
      <c r="L57" s="6" t="s">
        <v>466</v>
      </c>
    </row>
    <row r="58" spans="1:12" ht="87" x14ac:dyDescent="0.35">
      <c r="A58" s="6" t="s">
        <v>475</v>
      </c>
      <c r="B58" s="6" t="s">
        <v>39</v>
      </c>
      <c r="C58" s="6" t="s">
        <v>476</v>
      </c>
      <c r="D58" s="6" t="s">
        <v>477</v>
      </c>
      <c r="E58" s="13" t="s">
        <v>102</v>
      </c>
      <c r="F58" s="6" t="s">
        <v>478</v>
      </c>
      <c r="G58" s="6" t="s">
        <v>479</v>
      </c>
      <c r="H58" s="6" t="s">
        <v>480</v>
      </c>
      <c r="I58" s="6" t="s">
        <v>481</v>
      </c>
      <c r="J58" s="13" t="s">
        <v>556</v>
      </c>
      <c r="K58" s="13" t="s">
        <v>32</v>
      </c>
      <c r="L58" s="6" t="s">
        <v>482</v>
      </c>
    </row>
    <row r="59" spans="1:12" ht="58" x14ac:dyDescent="0.35">
      <c r="A59" s="6" t="s">
        <v>519</v>
      </c>
      <c r="B59" s="6" t="s">
        <v>39</v>
      </c>
      <c r="C59" s="6" t="s">
        <v>520</v>
      </c>
      <c r="D59" s="6" t="s">
        <v>521</v>
      </c>
      <c r="E59" s="13" t="s">
        <v>102</v>
      </c>
      <c r="F59" s="6" t="s">
        <v>522</v>
      </c>
      <c r="G59" s="6" t="s">
        <v>523</v>
      </c>
      <c r="H59" s="6" t="s">
        <v>524</v>
      </c>
      <c r="I59" s="6" t="s">
        <v>525</v>
      </c>
      <c r="J59" s="13" t="s">
        <v>556</v>
      </c>
      <c r="K59" s="13" t="s">
        <v>184</v>
      </c>
      <c r="L59" s="6" t="s">
        <v>526</v>
      </c>
    </row>
    <row r="60" spans="1:12" x14ac:dyDescent="0.35">
      <c r="A60" s="28" t="s">
        <v>41</v>
      </c>
      <c r="B60" s="29"/>
      <c r="C60" s="29"/>
      <c r="D60" s="29"/>
      <c r="E60" s="29"/>
      <c r="F60" s="29"/>
      <c r="G60" s="29"/>
      <c r="H60" s="29"/>
      <c r="I60" s="29"/>
      <c r="J60" s="29"/>
      <c r="K60" s="29"/>
      <c r="L60" s="30"/>
    </row>
    <row r="61" spans="1:12" ht="29" x14ac:dyDescent="0.35">
      <c r="A61" s="6" t="s">
        <v>326</v>
      </c>
      <c r="B61" s="6" t="s">
        <v>41</v>
      </c>
      <c r="C61" s="6" t="s">
        <v>327</v>
      </c>
      <c r="D61" s="6" t="s">
        <v>328</v>
      </c>
      <c r="E61" s="13" t="s">
        <v>102</v>
      </c>
      <c r="F61" s="6" t="s">
        <v>133</v>
      </c>
      <c r="G61" s="6" t="s">
        <v>329</v>
      </c>
      <c r="H61" s="6" t="s">
        <v>330</v>
      </c>
      <c r="I61" s="6" t="s">
        <v>527</v>
      </c>
      <c r="J61" s="13" t="s">
        <v>346</v>
      </c>
      <c r="K61" s="13" t="s">
        <v>32</v>
      </c>
      <c r="L61" s="6"/>
    </row>
    <row r="62" spans="1:12" ht="43.5" x14ac:dyDescent="0.35">
      <c r="A62" s="6" t="s">
        <v>331</v>
      </c>
      <c r="B62" s="6" t="s">
        <v>41</v>
      </c>
      <c r="C62" s="6" t="s">
        <v>528</v>
      </c>
      <c r="D62" s="6" t="s">
        <v>529</v>
      </c>
      <c r="E62" s="13" t="s">
        <v>102</v>
      </c>
      <c r="F62" s="6" t="s">
        <v>530</v>
      </c>
      <c r="G62" s="6" t="s">
        <v>531</v>
      </c>
      <c r="H62" s="6" t="s">
        <v>332</v>
      </c>
      <c r="I62" s="6" t="s">
        <v>532</v>
      </c>
      <c r="J62" s="13" t="s">
        <v>346</v>
      </c>
      <c r="K62" s="13" t="s">
        <v>32</v>
      </c>
      <c r="L62" s="6"/>
    </row>
    <row r="63" spans="1:12" ht="58" x14ac:dyDescent="0.35">
      <c r="A63" s="6" t="s">
        <v>333</v>
      </c>
      <c r="B63" s="6" t="s">
        <v>41</v>
      </c>
      <c r="C63" s="6" t="s">
        <v>533</v>
      </c>
      <c r="D63" s="6" t="s">
        <v>534</v>
      </c>
      <c r="E63" s="13" t="s">
        <v>102</v>
      </c>
      <c r="F63" s="6" t="s">
        <v>133</v>
      </c>
      <c r="G63" s="6" t="s">
        <v>535</v>
      </c>
      <c r="H63" s="6" t="s">
        <v>536</v>
      </c>
      <c r="I63" s="6" t="s">
        <v>537</v>
      </c>
      <c r="J63" s="13" t="s">
        <v>347</v>
      </c>
      <c r="K63" s="13" t="s">
        <v>32</v>
      </c>
      <c r="L63" s="6" t="s">
        <v>559</v>
      </c>
    </row>
    <row r="64" spans="1:12" ht="43.5" x14ac:dyDescent="0.35">
      <c r="A64" s="6" t="s">
        <v>334</v>
      </c>
      <c r="B64" s="6" t="s">
        <v>41</v>
      </c>
      <c r="C64" s="6" t="s">
        <v>335</v>
      </c>
      <c r="D64" s="6" t="s">
        <v>336</v>
      </c>
      <c r="E64" s="13" t="s">
        <v>102</v>
      </c>
      <c r="F64" s="6" t="s">
        <v>337</v>
      </c>
      <c r="G64" s="6" t="s">
        <v>338</v>
      </c>
      <c r="H64" s="6" t="s">
        <v>339</v>
      </c>
      <c r="I64" s="6" t="s">
        <v>552</v>
      </c>
      <c r="J64" s="13" t="s">
        <v>346</v>
      </c>
      <c r="K64" s="13" t="s">
        <v>184</v>
      </c>
      <c r="L64" s="6"/>
    </row>
  </sheetData>
  <autoFilter ref="A1:L64" xr:uid="{00000000-0009-0000-0000-000003000000}"/>
  <mergeCells count="8">
    <mergeCell ref="A50:L50"/>
    <mergeCell ref="A60:L60"/>
    <mergeCell ref="A10:L10"/>
    <mergeCell ref="A2:L2"/>
    <mergeCell ref="A20:L20"/>
    <mergeCell ref="A25:L25"/>
    <mergeCell ref="A34:L34"/>
    <mergeCell ref="A40:L40"/>
  </mergeCells>
  <phoneticPr fontId="9" type="noConversion"/>
  <conditionalFormatting sqref="J1 J3:J9 J11:J19 J21:J24 J26:J33 J35:J39 J41:J49 J51:J59 J61:J1048576">
    <cfRule type="cellIs" dxfId="8" priority="1" operator="equal">
      <formula>"Sugestão/Melhoria"</formula>
    </cfRule>
    <cfRule type="cellIs" dxfId="7" priority="2" operator="equal">
      <formula>"Bloqueado"</formula>
    </cfRule>
    <cfRule type="cellIs" dxfId="6" priority="3" operator="equal">
      <formula>"Reprovado"</formula>
    </cfRule>
    <cfRule type="cellIs" dxfId="5" priority="4" operator="equal">
      <formula>"Aprovado"</formula>
    </cfRule>
  </conditionalFormatting>
  <conditionalFormatting sqref="J3:J9 J11:J19 J21:J24 J26:J33 J35:J39 J41:J49 J51:J59 J61:J209">
    <cfRule type="expression" dxfId="4" priority="5">
      <formula>J3="Aprovado"</formula>
    </cfRule>
    <cfRule type="expression" dxfId="3" priority="6">
      <formula>J3="Concluído"</formula>
    </cfRule>
    <cfRule type="expression" dxfId="2" priority="7">
      <formula>J3="Reprovado"</formula>
    </cfRule>
    <cfRule type="expression" dxfId="1" priority="8">
      <formula>J3="Bloqueado"</formula>
    </cfRule>
    <cfRule type="expression" dxfId="0" priority="9">
      <formula>J3="Em andamento"</formula>
    </cfRule>
  </conditionalFormatting>
  <dataValidations count="2">
    <dataValidation type="list" allowBlank="1" sqref="K35:K38 K3:K9 K11:K19 K21:K24 K26:K33 K41:K49 K51:K59 K61:K209" xr:uid="{00000000-0002-0000-0300-000001000000}">
      <formula1>"Alta,Média,Baixa"</formula1>
    </dataValidation>
    <dataValidation type="list" allowBlank="1" sqref="E35:E38 E17:E19 E21:E24 E26:E33 E41:E49 E51:E59 E61:E209" xr:uid="{00000000-0002-0000-0300-000002000000}">
      <formula1>"Positivo,Negativo"</formula1>
    </dataValidation>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
  <sheetViews>
    <sheetView showGridLines="0" workbookViewId="0">
      <pane ySplit="1" topLeftCell="A5" activePane="bottomLeft" state="frozen"/>
      <selection pane="bottomLeft" activeCell="E7" sqref="E7"/>
    </sheetView>
  </sheetViews>
  <sheetFormatPr defaultRowHeight="14.5" x14ac:dyDescent="0.35"/>
  <cols>
    <col min="1" max="1" width="12" style="4" customWidth="1"/>
    <col min="2" max="3" width="14" style="1" customWidth="1"/>
    <col min="4" max="4" width="20" style="4" customWidth="1"/>
    <col min="5" max="5" width="45" style="1" customWidth="1"/>
    <col min="6" max="7" width="55" style="1" customWidth="1"/>
    <col min="8" max="9" width="45" style="1" customWidth="1"/>
    <col min="10" max="10" width="15" style="12" customWidth="1"/>
    <col min="11" max="11" width="18" style="12" customWidth="1"/>
    <col min="12" max="12" width="24" style="12" customWidth="1"/>
    <col min="13" max="13" width="14" style="12" customWidth="1"/>
    <col min="14" max="16384" width="8.7265625" style="1"/>
  </cols>
  <sheetData>
    <row r="1" spans="1:13" s="12" customFormat="1" ht="30" customHeight="1" x14ac:dyDescent="0.35">
      <c r="A1" s="10" t="s">
        <v>340</v>
      </c>
      <c r="B1" s="11" t="s">
        <v>474</v>
      </c>
      <c r="C1" s="11" t="s">
        <v>385</v>
      </c>
      <c r="D1" s="10" t="s">
        <v>16</v>
      </c>
      <c r="E1" s="20" t="s">
        <v>341</v>
      </c>
      <c r="F1" s="10" t="s">
        <v>2</v>
      </c>
      <c r="G1" s="10" t="s">
        <v>342</v>
      </c>
      <c r="H1" s="10" t="s">
        <v>97</v>
      </c>
      <c r="I1" s="11" t="s">
        <v>98</v>
      </c>
      <c r="J1" s="10" t="s">
        <v>343</v>
      </c>
      <c r="K1" s="10" t="s">
        <v>47</v>
      </c>
      <c r="L1" s="10" t="s">
        <v>344</v>
      </c>
      <c r="M1" s="10" t="s">
        <v>345</v>
      </c>
    </row>
    <row r="2" spans="1:13" ht="159.5" x14ac:dyDescent="0.35">
      <c r="A2" s="3" t="s">
        <v>369</v>
      </c>
      <c r="B2" s="5" t="s">
        <v>448</v>
      </c>
      <c r="C2" s="2" t="s">
        <v>386</v>
      </c>
      <c r="D2" s="3" t="s">
        <v>364</v>
      </c>
      <c r="E2" s="2" t="s">
        <v>446</v>
      </c>
      <c r="F2" s="2" t="s">
        <v>365</v>
      </c>
      <c r="G2" s="2" t="s">
        <v>366</v>
      </c>
      <c r="H2" s="2" t="s">
        <v>368</v>
      </c>
      <c r="I2" s="2" t="s">
        <v>367</v>
      </c>
      <c r="J2" s="13" t="s">
        <v>32</v>
      </c>
      <c r="K2" s="13" t="s">
        <v>370</v>
      </c>
      <c r="L2" s="13" t="s">
        <v>356</v>
      </c>
      <c r="M2" s="14">
        <v>46219</v>
      </c>
    </row>
    <row r="3" spans="1:13" ht="159.5" x14ac:dyDescent="0.35">
      <c r="A3" s="3" t="s">
        <v>379</v>
      </c>
      <c r="B3" s="5" t="s">
        <v>447</v>
      </c>
      <c r="C3" s="2" t="s">
        <v>386</v>
      </c>
      <c r="D3" s="3" t="s">
        <v>364</v>
      </c>
      <c r="E3" s="2" t="s">
        <v>380</v>
      </c>
      <c r="F3" s="2" t="s">
        <v>381</v>
      </c>
      <c r="G3" s="2" t="s">
        <v>382</v>
      </c>
      <c r="H3" s="2" t="s">
        <v>384</v>
      </c>
      <c r="I3" s="2" t="s">
        <v>383</v>
      </c>
      <c r="J3" s="13" t="s">
        <v>32</v>
      </c>
      <c r="K3" s="13" t="s">
        <v>370</v>
      </c>
      <c r="L3" s="13" t="s">
        <v>371</v>
      </c>
      <c r="M3" s="14">
        <v>46219</v>
      </c>
    </row>
    <row r="4" spans="1:13" ht="159.5" x14ac:dyDescent="0.35">
      <c r="A4" s="3" t="s">
        <v>425</v>
      </c>
      <c r="B4" s="5" t="s">
        <v>445</v>
      </c>
      <c r="C4" s="2" t="s">
        <v>386</v>
      </c>
      <c r="D4" s="3" t="s">
        <v>35</v>
      </c>
      <c r="E4" s="2" t="s">
        <v>427</v>
      </c>
      <c r="F4" s="2" t="s">
        <v>428</v>
      </c>
      <c r="G4" s="2" t="s">
        <v>429</v>
      </c>
      <c r="H4" s="2" t="s">
        <v>430</v>
      </c>
      <c r="I4" s="2" t="s">
        <v>431</v>
      </c>
      <c r="J4" s="13" t="s">
        <v>432</v>
      </c>
      <c r="K4" s="13" t="s">
        <v>370</v>
      </c>
      <c r="L4" s="13" t="s">
        <v>247</v>
      </c>
      <c r="M4" s="14">
        <v>46219</v>
      </c>
    </row>
    <row r="5" spans="1:13" ht="159.5" x14ac:dyDescent="0.35">
      <c r="A5" s="3" t="s">
        <v>467</v>
      </c>
      <c r="B5" s="5" t="s">
        <v>473</v>
      </c>
      <c r="C5" s="2" t="s">
        <v>386</v>
      </c>
      <c r="D5" s="3" t="s">
        <v>39</v>
      </c>
      <c r="E5" s="2" t="s">
        <v>468</v>
      </c>
      <c r="F5" s="2" t="s">
        <v>469</v>
      </c>
      <c r="G5" s="2" t="s">
        <v>470</v>
      </c>
      <c r="H5" s="2" t="s">
        <v>472</v>
      </c>
      <c r="I5" s="2" t="s">
        <v>471</v>
      </c>
      <c r="J5" s="13" t="s">
        <v>24</v>
      </c>
      <c r="K5" s="13" t="s">
        <v>370</v>
      </c>
      <c r="L5" s="13" t="s">
        <v>459</v>
      </c>
      <c r="M5" s="14">
        <v>46219</v>
      </c>
    </row>
    <row r="6" spans="1:13" ht="159.5" x14ac:dyDescent="0.35">
      <c r="A6" s="3" t="s">
        <v>501</v>
      </c>
      <c r="B6" s="5" t="s">
        <v>502</v>
      </c>
      <c r="C6" s="2" t="s">
        <v>386</v>
      </c>
      <c r="D6" s="3" t="s">
        <v>364</v>
      </c>
      <c r="E6" s="2" t="s">
        <v>503</v>
      </c>
      <c r="F6" s="2" t="s">
        <v>504</v>
      </c>
      <c r="G6" s="2" t="s">
        <v>505</v>
      </c>
      <c r="H6" s="2" t="s">
        <v>506</v>
      </c>
      <c r="I6" s="2" t="s">
        <v>507</v>
      </c>
      <c r="J6" s="13" t="s">
        <v>32</v>
      </c>
      <c r="K6" s="13" t="s">
        <v>370</v>
      </c>
      <c r="L6" s="13" t="s">
        <v>426</v>
      </c>
      <c r="M6" s="14">
        <v>46219</v>
      </c>
    </row>
    <row r="7" spans="1:13" ht="159.5" x14ac:dyDescent="0.35">
      <c r="A7" s="3" t="s">
        <v>538</v>
      </c>
      <c r="B7" s="5" t="s">
        <v>539</v>
      </c>
      <c r="C7" s="2" t="s">
        <v>386</v>
      </c>
      <c r="D7" s="3" t="s">
        <v>41</v>
      </c>
      <c r="E7" s="2" t="s">
        <v>540</v>
      </c>
      <c r="F7" s="2" t="s">
        <v>541</v>
      </c>
      <c r="G7" s="2" t="s">
        <v>535</v>
      </c>
      <c r="H7" s="2" t="s">
        <v>542</v>
      </c>
      <c r="I7" s="2" t="s">
        <v>537</v>
      </c>
      <c r="J7" s="13" t="s">
        <v>32</v>
      </c>
      <c r="K7" s="13" t="s">
        <v>370</v>
      </c>
      <c r="L7" s="13" t="s">
        <v>333</v>
      </c>
      <c r="M7" s="14">
        <v>46219</v>
      </c>
    </row>
  </sheetData>
  <autoFilter ref="A1:M2" xr:uid="{00000000-0009-0000-0000-000004000000}"/>
  <phoneticPr fontId="9" type="noConversion"/>
  <dataValidations count="4">
    <dataValidation type="list" allowBlank="1" sqref="J2:J200" xr:uid="{00000000-0002-0000-0400-000000000000}">
      <formula1>"Crítica,Alta,Média,Baixa"</formula1>
    </dataValidation>
    <dataValidation type="list" allowBlank="1" sqref="K8:K200" xr:uid="{00000000-0002-0000-0400-000001000000}">
      <formula1>"Alta,Média,Baixa"</formula1>
    </dataValidation>
    <dataValidation type="list" allowBlank="1" sqref="K2:K200" xr:uid="{00000000-0002-0000-0400-000002000000}">
      <formula1>"Aberto,Em análise,Resolvido,Fechado"</formula1>
    </dataValidation>
    <dataValidation type="list" allowBlank="1" sqref="K2:K7" xr:uid="{B93467AE-FFCF-4A57-954A-457795C737E1}">
      <formula1>"Aberto,Corrigido,Fechado"</formula1>
    </dataValidation>
  </dataValidations>
  <hyperlinks>
    <hyperlink ref="B4" r:id="rId1" xr:uid="{E3AC1C93-34E7-4518-A822-553AF8928A68}"/>
    <hyperlink ref="B3" r:id="rId2" xr:uid="{A98CE9B6-CAA7-4DD2-9E49-9ECAD6CDF437}"/>
    <hyperlink ref="B2" r:id="rId3" xr:uid="{7A42E7B1-75F3-48EE-9725-1A283AC17513}"/>
    <hyperlink ref="B5" r:id="rId4" xr:uid="{F193816B-9D34-41F4-9978-AE87F0018885}"/>
    <hyperlink ref="B6" r:id="rId5" xr:uid="{1C429EA4-7957-48E5-8D17-A8745B3CA6DC}"/>
    <hyperlink ref="B7" r:id="rId6" xr:uid="{7CF36F2B-B41B-438D-A58E-F7C9ADE00BEE}"/>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0196-C242-4EF9-80DE-F08B7ED34BE4}">
  <dimension ref="A1:I7"/>
  <sheetViews>
    <sheetView workbookViewId="0">
      <pane ySplit="1" topLeftCell="A2" activePane="bottomLeft" state="frozen"/>
      <selection pane="bottomLeft" activeCell="F10" sqref="F10"/>
    </sheetView>
  </sheetViews>
  <sheetFormatPr defaultColWidth="32.7265625" defaultRowHeight="14.5" x14ac:dyDescent="0.35"/>
  <cols>
    <col min="1" max="1" width="10.453125" style="12" customWidth="1"/>
    <col min="2" max="2" width="14.08984375" style="12" customWidth="1"/>
    <col min="3" max="3" width="32.7265625" style="12"/>
    <col min="4" max="7" width="32.7265625" style="1"/>
    <col min="8" max="8" width="16" style="12" customWidth="1"/>
    <col min="9" max="9" width="14.54296875" style="12" customWidth="1"/>
    <col min="10" max="10" width="32.7265625" style="1" customWidth="1"/>
    <col min="11" max="16384" width="32.7265625" style="1"/>
  </cols>
  <sheetData>
    <row r="1" spans="1:9" s="7" customFormat="1" ht="30" customHeight="1" x14ac:dyDescent="0.35">
      <c r="A1" s="21" t="s">
        <v>44</v>
      </c>
      <c r="B1" s="21" t="s">
        <v>16</v>
      </c>
      <c r="C1" s="21" t="s">
        <v>46</v>
      </c>
      <c r="D1" s="21" t="s">
        <v>387</v>
      </c>
      <c r="E1" s="21" t="s">
        <v>388</v>
      </c>
      <c r="F1" s="21" t="s">
        <v>389</v>
      </c>
      <c r="G1" s="21" t="s">
        <v>390</v>
      </c>
      <c r="H1" s="21" t="s">
        <v>18</v>
      </c>
      <c r="I1" s="21" t="s">
        <v>47</v>
      </c>
    </row>
    <row r="2" spans="1:9" ht="191.5" customHeight="1" x14ac:dyDescent="0.35">
      <c r="A2" s="13" t="s">
        <v>391</v>
      </c>
      <c r="B2" s="13" t="s">
        <v>27</v>
      </c>
      <c r="C2" s="13" t="s">
        <v>392</v>
      </c>
      <c r="D2" s="2" t="s">
        <v>398</v>
      </c>
      <c r="E2" s="2" t="s">
        <v>399</v>
      </c>
      <c r="F2" s="2" t="s">
        <v>400</v>
      </c>
      <c r="G2" s="2" t="s">
        <v>401</v>
      </c>
      <c r="H2" s="13" t="s">
        <v>32</v>
      </c>
      <c r="I2" s="13" t="s">
        <v>393</v>
      </c>
    </row>
    <row r="3" spans="1:9" ht="145" x14ac:dyDescent="0.35">
      <c r="A3" s="13" t="s">
        <v>412</v>
      </c>
      <c r="B3" s="13" t="s">
        <v>33</v>
      </c>
      <c r="C3" s="13" t="s">
        <v>392</v>
      </c>
      <c r="D3" s="2" t="s">
        <v>413</v>
      </c>
      <c r="E3" s="2" t="s">
        <v>414</v>
      </c>
      <c r="F3" s="2" t="s">
        <v>415</v>
      </c>
      <c r="G3" s="2" t="s">
        <v>416</v>
      </c>
      <c r="H3" s="13" t="s">
        <v>184</v>
      </c>
      <c r="I3" s="13" t="s">
        <v>393</v>
      </c>
    </row>
    <row r="4" spans="1:9" ht="159.5" x14ac:dyDescent="0.35">
      <c r="A4" s="13" t="s">
        <v>483</v>
      </c>
      <c r="B4" s="13" t="s">
        <v>39</v>
      </c>
      <c r="C4" s="13" t="s">
        <v>484</v>
      </c>
      <c r="D4" s="2" t="s">
        <v>485</v>
      </c>
      <c r="E4" s="2" t="s">
        <v>486</v>
      </c>
      <c r="F4" s="2" t="s">
        <v>550</v>
      </c>
      <c r="G4" s="2" t="s">
        <v>487</v>
      </c>
      <c r="H4" s="13" t="s">
        <v>32</v>
      </c>
      <c r="I4" s="13" t="s">
        <v>393</v>
      </c>
    </row>
    <row r="5" spans="1:9" ht="101.5" x14ac:dyDescent="0.35">
      <c r="A5" s="13" t="s">
        <v>488</v>
      </c>
      <c r="B5" s="13" t="s">
        <v>27</v>
      </c>
      <c r="C5" s="13" t="s">
        <v>489</v>
      </c>
      <c r="D5" s="2" t="s">
        <v>490</v>
      </c>
      <c r="E5" s="2" t="s">
        <v>491</v>
      </c>
      <c r="F5" s="2" t="s">
        <v>492</v>
      </c>
      <c r="G5" s="2" t="s">
        <v>493</v>
      </c>
      <c r="H5" s="13" t="s">
        <v>184</v>
      </c>
      <c r="I5" s="13" t="s">
        <v>393</v>
      </c>
    </row>
    <row r="6" spans="1:9" ht="130.5" x14ac:dyDescent="0.35">
      <c r="A6" s="13" t="s">
        <v>508</v>
      </c>
      <c r="B6" s="13" t="s">
        <v>39</v>
      </c>
      <c r="C6" s="13" t="s">
        <v>509</v>
      </c>
      <c r="D6" s="2" t="s">
        <v>510</v>
      </c>
      <c r="E6" s="2" t="s">
        <v>511</v>
      </c>
      <c r="F6" s="2" t="s">
        <v>512</v>
      </c>
      <c r="G6" s="2" t="s">
        <v>513</v>
      </c>
      <c r="H6" s="13" t="s">
        <v>184</v>
      </c>
      <c r="I6" s="13" t="s">
        <v>393</v>
      </c>
    </row>
    <row r="7" spans="1:9" ht="174" x14ac:dyDescent="0.35">
      <c r="A7" s="13" t="s">
        <v>514</v>
      </c>
      <c r="B7" s="13" t="s">
        <v>39</v>
      </c>
      <c r="C7" s="13" t="s">
        <v>484</v>
      </c>
      <c r="D7" s="2" t="s">
        <v>515</v>
      </c>
      <c r="E7" s="2" t="s">
        <v>516</v>
      </c>
      <c r="F7" s="2" t="s">
        <v>518</v>
      </c>
      <c r="G7" s="2" t="s">
        <v>517</v>
      </c>
      <c r="H7" s="13" t="s">
        <v>184</v>
      </c>
      <c r="I7" s="13" t="s">
        <v>393</v>
      </c>
    </row>
  </sheetData>
  <phoneticPr fontId="9"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Resumo</vt:lpstr>
      <vt:lpstr>Mapeamento</vt:lpstr>
      <vt:lpstr>Checklist Geral</vt:lpstr>
      <vt:lpstr>Casos de Teste</vt:lpstr>
      <vt:lpstr>Relatório de Bugs</vt:lpstr>
      <vt:lpstr>Melhorias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Dhébora Proença</cp:lastModifiedBy>
  <dcterms:created xsi:type="dcterms:W3CDTF">2026-07-15T10:46:53Z</dcterms:created>
  <dcterms:modified xsi:type="dcterms:W3CDTF">2026-07-17T14:32:06Z</dcterms:modified>
</cp:coreProperties>
</file>